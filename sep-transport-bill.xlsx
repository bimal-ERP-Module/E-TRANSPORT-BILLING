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lyx_HP1\Downloads\"/>
    </mc:Choice>
  </mc:AlternateContent>
  <xr:revisionPtr revIDLastSave="0" documentId="8_{079AED1D-7C70-4949-8460-C4EC3A75B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-Report" sheetId="2" r:id="rId1"/>
  </sheets>
  <definedNames>
    <definedName name="_xlnm._FilterDatabase" localSheetId="0" hidden="1">'Sales-Report'!$A$1:$AN$534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34" i="2" l="1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R463" i="2" s="1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R408" i="2" s="1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Z362" i="2" s="1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Z349" i="2" s="1"/>
  <c r="P348" i="2"/>
  <c r="P347" i="2"/>
  <c r="P346" i="2"/>
  <c r="P345" i="2"/>
  <c r="P344" i="2"/>
  <c r="P343" i="2"/>
  <c r="P342" i="2"/>
  <c r="R342" i="2" s="1"/>
  <c r="P341" i="2"/>
  <c r="P340" i="2"/>
  <c r="P339" i="2"/>
  <c r="P338" i="2"/>
  <c r="P337" i="2"/>
  <c r="P336" i="2"/>
  <c r="P335" i="2"/>
  <c r="R335" i="2" s="1"/>
  <c r="P334" i="2"/>
  <c r="P333" i="2"/>
  <c r="Z333" i="2" s="1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Z254" i="2" s="1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X153" i="2" s="1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Z136" i="2" s="1"/>
  <c r="P135" i="2"/>
  <c r="P134" i="2"/>
  <c r="P133" i="2"/>
  <c r="P132" i="2"/>
  <c r="P131" i="2"/>
  <c r="P130" i="2"/>
  <c r="P129" i="2"/>
  <c r="R129" i="2" s="1"/>
  <c r="P128" i="2"/>
  <c r="P127" i="2"/>
  <c r="P126" i="2"/>
  <c r="P125" i="2"/>
  <c r="P124" i="2"/>
  <c r="P123" i="2"/>
  <c r="P122" i="2"/>
  <c r="P121" i="2"/>
  <c r="P120" i="2"/>
  <c r="P119" i="2"/>
  <c r="Z119" i="2" s="1"/>
  <c r="P118" i="2"/>
  <c r="P117" i="2"/>
  <c r="P116" i="2"/>
  <c r="P115" i="2"/>
  <c r="P114" i="2"/>
  <c r="P113" i="2"/>
  <c r="P112" i="2"/>
  <c r="X112" i="2" s="1"/>
  <c r="P111" i="2"/>
  <c r="R111" i="2" s="1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Z44" i="2" s="1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Z4" i="2" s="1"/>
  <c r="P3" i="2"/>
  <c r="P2" i="2"/>
  <c r="X534" i="2" l="1"/>
  <c r="Z534" i="2"/>
  <c r="R534" i="2"/>
  <c r="Z533" i="2"/>
  <c r="X533" i="2"/>
  <c r="R533" i="2"/>
  <c r="Z532" i="2"/>
  <c r="X532" i="2"/>
  <c r="R532" i="2"/>
  <c r="R531" i="2"/>
  <c r="X531" i="2"/>
  <c r="Z531" i="2"/>
  <c r="X530" i="2"/>
  <c r="R530" i="2"/>
  <c r="Z530" i="2"/>
  <c r="X529" i="2"/>
  <c r="Z529" i="2"/>
  <c r="R529" i="2"/>
  <c r="AA529" i="2" s="1"/>
  <c r="Z528" i="2"/>
  <c r="R528" i="2"/>
  <c r="X528" i="2"/>
  <c r="X527" i="2"/>
  <c r="Z527" i="2"/>
  <c r="R527" i="2"/>
  <c r="AA527" i="2" s="1"/>
  <c r="X526" i="2"/>
  <c r="R526" i="2"/>
  <c r="Z526" i="2"/>
  <c r="R525" i="2"/>
  <c r="Z525" i="2"/>
  <c r="X525" i="2"/>
  <c r="X524" i="2"/>
  <c r="R524" i="2"/>
  <c r="Z524" i="2"/>
  <c r="Z523" i="2"/>
  <c r="X523" i="2"/>
  <c r="R523" i="2"/>
  <c r="Z522" i="2"/>
  <c r="R522" i="2"/>
  <c r="X522" i="2"/>
  <c r="R521" i="2"/>
  <c r="X521" i="2"/>
  <c r="Z521" i="2"/>
  <c r="X520" i="2"/>
  <c r="R520" i="2"/>
  <c r="Z520" i="2"/>
  <c r="R519" i="2"/>
  <c r="X519" i="2"/>
  <c r="Z519" i="2"/>
  <c r="R518" i="2"/>
  <c r="Z518" i="2"/>
  <c r="X518" i="2"/>
  <c r="Z517" i="2"/>
  <c r="R517" i="2"/>
  <c r="X517" i="2"/>
  <c r="X516" i="2"/>
  <c r="Z516" i="2"/>
  <c r="R516" i="2"/>
  <c r="AA516" i="2" s="1"/>
  <c r="X515" i="2"/>
  <c r="R515" i="2"/>
  <c r="Z515" i="2"/>
  <c r="X514" i="2"/>
  <c r="Z514" i="2"/>
  <c r="R514" i="2"/>
  <c r="X513" i="2"/>
  <c r="R513" i="2"/>
  <c r="Z513" i="2"/>
  <c r="R512" i="2"/>
  <c r="Z512" i="2"/>
  <c r="X512" i="2"/>
  <c r="Z511" i="2"/>
  <c r="R511" i="2"/>
  <c r="X511" i="2"/>
  <c r="Z510" i="2"/>
  <c r="X510" i="2"/>
  <c r="R510" i="2"/>
  <c r="AA510" i="2" s="1"/>
  <c r="X509" i="2"/>
  <c r="Z509" i="2"/>
  <c r="R509" i="2"/>
  <c r="AA509" i="2" s="1"/>
  <c r="R508" i="2"/>
  <c r="Z508" i="2"/>
  <c r="X508" i="2"/>
  <c r="Z507" i="2"/>
  <c r="R507" i="2"/>
  <c r="X507" i="2"/>
  <c r="X506" i="2"/>
  <c r="R506" i="2"/>
  <c r="Z506" i="2"/>
  <c r="R505" i="2"/>
  <c r="Z505" i="2"/>
  <c r="X505" i="2"/>
  <c r="Z504" i="2"/>
  <c r="R504" i="2"/>
  <c r="X504" i="2"/>
  <c r="Z503" i="2"/>
  <c r="R503" i="2"/>
  <c r="X503" i="2"/>
  <c r="Z502" i="2"/>
  <c r="X502" i="2"/>
  <c r="R502" i="2"/>
  <c r="AA502" i="2" s="1"/>
  <c r="R501" i="2"/>
  <c r="X501" i="2"/>
  <c r="Z501" i="2"/>
  <c r="R500" i="2"/>
  <c r="X500" i="2"/>
  <c r="Z500" i="2"/>
  <c r="Z499" i="2"/>
  <c r="X499" i="2"/>
  <c r="R499" i="2"/>
  <c r="X498" i="2"/>
  <c r="R498" i="2"/>
  <c r="Z498" i="2"/>
  <c r="Z497" i="2"/>
  <c r="X497" i="2"/>
  <c r="R497" i="2"/>
  <c r="AA497" i="2" s="1"/>
  <c r="R496" i="2"/>
  <c r="X496" i="2"/>
  <c r="Z496" i="2"/>
  <c r="R495" i="2"/>
  <c r="Z495" i="2"/>
  <c r="X495" i="2"/>
  <c r="Z494" i="2"/>
  <c r="R494" i="2"/>
  <c r="X494" i="2"/>
  <c r="Z493" i="2"/>
  <c r="R493" i="2"/>
  <c r="X493" i="2"/>
  <c r="Z492" i="2"/>
  <c r="R492" i="2"/>
  <c r="X492" i="2"/>
  <c r="X491" i="2"/>
  <c r="Z491" i="2"/>
  <c r="R491" i="2"/>
  <c r="AA491" i="2" s="1"/>
  <c r="Z490" i="2"/>
  <c r="X490" i="2"/>
  <c r="R490" i="2"/>
  <c r="R489" i="2"/>
  <c r="X489" i="2"/>
  <c r="Z489" i="2"/>
  <c r="R488" i="2"/>
  <c r="X488" i="2"/>
  <c r="Z488" i="2"/>
  <c r="Z487" i="2"/>
  <c r="X487" i="2"/>
  <c r="R487" i="2"/>
  <c r="AA487" i="2" s="1"/>
  <c r="R486" i="2"/>
  <c r="Z486" i="2"/>
  <c r="X486" i="2"/>
  <c r="X485" i="2"/>
  <c r="Z485" i="2"/>
  <c r="R485" i="2"/>
  <c r="R484" i="2"/>
  <c r="X484" i="2"/>
  <c r="Z484" i="2"/>
  <c r="R483" i="2"/>
  <c r="Z483" i="2"/>
  <c r="X483" i="2"/>
  <c r="R482" i="2"/>
  <c r="Z482" i="2"/>
  <c r="X482" i="2"/>
  <c r="R481" i="2"/>
  <c r="X481" i="2"/>
  <c r="Z481" i="2"/>
  <c r="Z480" i="2"/>
  <c r="X480" i="2"/>
  <c r="R480" i="2"/>
  <c r="AA480" i="2" s="1"/>
  <c r="Z479" i="2"/>
  <c r="R479" i="2"/>
  <c r="X479" i="2"/>
  <c r="R478" i="2"/>
  <c r="X478" i="2"/>
  <c r="Z478" i="2"/>
  <c r="R477" i="2"/>
  <c r="X477" i="2"/>
  <c r="Z477" i="2"/>
  <c r="R476" i="2"/>
  <c r="X476" i="2"/>
  <c r="Z476" i="2"/>
  <c r="R475" i="2"/>
  <c r="X475" i="2"/>
  <c r="Z475" i="2"/>
  <c r="R474" i="2"/>
  <c r="X474" i="2"/>
  <c r="Z474" i="2"/>
  <c r="R473" i="2"/>
  <c r="X473" i="2"/>
  <c r="Z473" i="2"/>
  <c r="R472" i="2"/>
  <c r="Z472" i="2"/>
  <c r="X472" i="2"/>
  <c r="R471" i="2"/>
  <c r="X471" i="2"/>
  <c r="Z471" i="2"/>
  <c r="R470" i="2"/>
  <c r="Z470" i="2"/>
  <c r="X470" i="2"/>
  <c r="Z469" i="2"/>
  <c r="X469" i="2"/>
  <c r="R469" i="2"/>
  <c r="R377" i="2"/>
  <c r="Z377" i="2"/>
  <c r="X377" i="2"/>
  <c r="X286" i="2"/>
  <c r="Z286" i="2"/>
  <c r="R286" i="2"/>
  <c r="AA286" i="2" s="1"/>
  <c r="R468" i="2"/>
  <c r="Z468" i="2"/>
  <c r="X468" i="2"/>
  <c r="Z467" i="2"/>
  <c r="X467" i="2"/>
  <c r="R467" i="2"/>
  <c r="Z466" i="2"/>
  <c r="X466" i="2"/>
  <c r="R466" i="2"/>
  <c r="X465" i="2"/>
  <c r="Z465" i="2"/>
  <c r="R465" i="2"/>
  <c r="AA465" i="2" s="1"/>
  <c r="Z464" i="2"/>
  <c r="X464" i="2"/>
  <c r="R464" i="2"/>
  <c r="AA464" i="2" s="1"/>
  <c r="Z463" i="2"/>
  <c r="X463" i="2"/>
  <c r="AA463" i="2" s="1"/>
  <c r="R462" i="2"/>
  <c r="Z462" i="2"/>
  <c r="X462" i="2"/>
  <c r="Z461" i="2"/>
  <c r="R461" i="2"/>
  <c r="X461" i="2"/>
  <c r="Z460" i="2"/>
  <c r="X460" i="2"/>
  <c r="R460" i="2"/>
  <c r="AA460" i="2" s="1"/>
  <c r="X459" i="2"/>
  <c r="Z459" i="2"/>
  <c r="R459" i="2"/>
  <c r="AA459" i="2" s="1"/>
  <c r="R458" i="2"/>
  <c r="Z458" i="2"/>
  <c r="X458" i="2"/>
  <c r="X457" i="2"/>
  <c r="R457" i="2"/>
  <c r="Z457" i="2"/>
  <c r="X456" i="2"/>
  <c r="Z456" i="2"/>
  <c r="R456" i="2"/>
  <c r="Z455" i="2"/>
  <c r="R455" i="2"/>
  <c r="X455" i="2"/>
  <c r="R454" i="2"/>
  <c r="X454" i="2"/>
  <c r="Z454" i="2"/>
  <c r="Z453" i="2"/>
  <c r="X453" i="2"/>
  <c r="R453" i="2"/>
  <c r="X452" i="2"/>
  <c r="Z452" i="2"/>
  <c r="R452" i="2"/>
  <c r="Z451" i="2"/>
  <c r="X451" i="2"/>
  <c r="R451" i="2"/>
  <c r="X450" i="2"/>
  <c r="R450" i="2"/>
  <c r="Z450" i="2"/>
  <c r="Z449" i="2"/>
  <c r="X449" i="2"/>
  <c r="R449" i="2"/>
  <c r="AA449" i="2" s="1"/>
  <c r="Z448" i="2"/>
  <c r="X448" i="2"/>
  <c r="R448" i="2"/>
  <c r="AA448" i="2" s="1"/>
  <c r="Z447" i="2"/>
  <c r="X447" i="2"/>
  <c r="R447" i="2"/>
  <c r="R446" i="2"/>
  <c r="X446" i="2"/>
  <c r="Z446" i="2"/>
  <c r="X445" i="2"/>
  <c r="R445" i="2"/>
  <c r="Z445" i="2"/>
  <c r="X444" i="2"/>
  <c r="Z444" i="2"/>
  <c r="R444" i="2"/>
  <c r="Z443" i="2"/>
  <c r="X443" i="2"/>
  <c r="R443" i="2"/>
  <c r="Z442" i="2"/>
  <c r="X442" i="2"/>
  <c r="R442" i="2"/>
  <c r="AA442" i="2" s="1"/>
  <c r="Z441" i="2"/>
  <c r="X441" i="2"/>
  <c r="R441" i="2"/>
  <c r="Z440" i="2"/>
  <c r="X440" i="2"/>
  <c r="R440" i="2"/>
  <c r="AA440" i="2" s="1"/>
  <c r="Z439" i="2"/>
  <c r="X439" i="2"/>
  <c r="R439" i="2"/>
  <c r="AA439" i="2" s="1"/>
  <c r="Z438" i="2"/>
  <c r="X438" i="2"/>
  <c r="R438" i="2"/>
  <c r="AA438" i="2" s="1"/>
  <c r="Z437" i="2"/>
  <c r="X437" i="2"/>
  <c r="R437" i="2"/>
  <c r="AA437" i="2" s="1"/>
  <c r="Z436" i="2"/>
  <c r="X436" i="2"/>
  <c r="R436" i="2"/>
  <c r="AA436" i="2" s="1"/>
  <c r="Z435" i="2"/>
  <c r="X435" i="2"/>
  <c r="R435" i="2"/>
  <c r="AA435" i="2" s="1"/>
  <c r="Z434" i="2"/>
  <c r="X434" i="2"/>
  <c r="R434" i="2"/>
  <c r="AA434" i="2" s="1"/>
  <c r="Z433" i="2"/>
  <c r="X433" i="2"/>
  <c r="R433" i="2"/>
  <c r="AA433" i="2" s="1"/>
  <c r="Z432" i="2"/>
  <c r="X432" i="2"/>
  <c r="R432" i="2"/>
  <c r="AA432" i="2" s="1"/>
  <c r="X431" i="2"/>
  <c r="R431" i="2"/>
  <c r="Z431" i="2"/>
  <c r="Z430" i="2"/>
  <c r="X430" i="2"/>
  <c r="R430" i="2"/>
  <c r="AA430" i="2" s="1"/>
  <c r="Z429" i="2"/>
  <c r="X429" i="2"/>
  <c r="R429" i="2"/>
  <c r="AA429" i="2" s="1"/>
  <c r="X428" i="2"/>
  <c r="Z428" i="2"/>
  <c r="R428" i="2"/>
  <c r="X427" i="2"/>
  <c r="Z427" i="2"/>
  <c r="R427" i="2"/>
  <c r="AA427" i="2" s="1"/>
  <c r="X426" i="2"/>
  <c r="Z426" i="2"/>
  <c r="R426" i="2"/>
  <c r="AA426" i="2" s="1"/>
  <c r="X425" i="2"/>
  <c r="Z425" i="2"/>
  <c r="R425" i="2"/>
  <c r="X424" i="2"/>
  <c r="Z424" i="2"/>
  <c r="R424" i="2"/>
  <c r="AA424" i="2" s="1"/>
  <c r="X423" i="2"/>
  <c r="Z423" i="2"/>
  <c r="R423" i="2"/>
  <c r="AA423" i="2" s="1"/>
  <c r="Z422" i="2"/>
  <c r="R422" i="2"/>
  <c r="X422" i="2"/>
  <c r="Z421" i="2"/>
  <c r="R421" i="2"/>
  <c r="X421" i="2"/>
  <c r="X420" i="2"/>
  <c r="Z420" i="2"/>
  <c r="R420" i="2"/>
  <c r="AA420" i="2" s="1"/>
  <c r="X419" i="2"/>
  <c r="R419" i="2"/>
  <c r="Z419" i="2"/>
  <c r="Z418" i="2"/>
  <c r="X418" i="2"/>
  <c r="R418" i="2"/>
  <c r="AA418" i="2" s="1"/>
  <c r="R417" i="2"/>
  <c r="Z417" i="2"/>
  <c r="X417" i="2"/>
  <c r="X416" i="2"/>
  <c r="Z416" i="2"/>
  <c r="R416" i="2"/>
  <c r="Z415" i="2"/>
  <c r="X415" i="2"/>
  <c r="R415" i="2"/>
  <c r="AA415" i="2" s="1"/>
  <c r="Z414" i="2"/>
  <c r="X414" i="2"/>
  <c r="R414" i="2"/>
  <c r="AA414" i="2" s="1"/>
  <c r="Z413" i="2"/>
  <c r="X413" i="2"/>
  <c r="R413" i="2"/>
  <c r="AA413" i="2" s="1"/>
  <c r="Z412" i="2"/>
  <c r="X412" i="2"/>
  <c r="R412" i="2"/>
  <c r="Z411" i="2"/>
  <c r="X411" i="2"/>
  <c r="R411" i="2"/>
  <c r="AA411" i="2" s="1"/>
  <c r="Z410" i="2"/>
  <c r="X410" i="2"/>
  <c r="R410" i="2"/>
  <c r="Z409" i="2"/>
  <c r="X409" i="2"/>
  <c r="R409" i="2"/>
  <c r="Z408" i="2"/>
  <c r="X408" i="2"/>
  <c r="AA408" i="2" s="1"/>
  <c r="Z407" i="2"/>
  <c r="X407" i="2"/>
  <c r="R407" i="2"/>
  <c r="Z406" i="2"/>
  <c r="X406" i="2"/>
  <c r="R406" i="2"/>
  <c r="AA406" i="2" s="1"/>
  <c r="Z405" i="2"/>
  <c r="R405" i="2"/>
  <c r="X405" i="2"/>
  <c r="R404" i="2"/>
  <c r="X404" i="2"/>
  <c r="Z404" i="2"/>
  <c r="Z403" i="2"/>
  <c r="X403" i="2"/>
  <c r="R403" i="2"/>
  <c r="AA403" i="2" s="1"/>
  <c r="R402" i="2"/>
  <c r="X402" i="2"/>
  <c r="Z402" i="2"/>
  <c r="Z401" i="2"/>
  <c r="X401" i="2"/>
  <c r="R401" i="2"/>
  <c r="R400" i="2"/>
  <c r="X400" i="2"/>
  <c r="Z400" i="2"/>
  <c r="R399" i="2"/>
  <c r="Z399" i="2"/>
  <c r="X399" i="2"/>
  <c r="R398" i="2"/>
  <c r="X398" i="2"/>
  <c r="Z398" i="2"/>
  <c r="R397" i="2"/>
  <c r="X397" i="2"/>
  <c r="Z397" i="2"/>
  <c r="Z396" i="2"/>
  <c r="R396" i="2"/>
  <c r="X396" i="2"/>
  <c r="X395" i="2"/>
  <c r="Z395" i="2"/>
  <c r="R395" i="2"/>
  <c r="Z394" i="2"/>
  <c r="X394" i="2"/>
  <c r="R394" i="2"/>
  <c r="R393" i="2"/>
  <c r="Z393" i="2"/>
  <c r="X393" i="2"/>
  <c r="R392" i="2"/>
  <c r="X392" i="2"/>
  <c r="Z392" i="2"/>
  <c r="Z391" i="2"/>
  <c r="X391" i="2"/>
  <c r="R391" i="2"/>
  <c r="AA391" i="2" s="1"/>
  <c r="R390" i="2"/>
  <c r="X390" i="2"/>
  <c r="Z390" i="2"/>
  <c r="Z389" i="2"/>
  <c r="X389" i="2"/>
  <c r="R389" i="2"/>
  <c r="AA389" i="2" s="1"/>
  <c r="Z388" i="2"/>
  <c r="X388" i="2"/>
  <c r="R388" i="2"/>
  <c r="R387" i="2"/>
  <c r="Z387" i="2"/>
  <c r="X387" i="2"/>
  <c r="Z386" i="2"/>
  <c r="X386" i="2"/>
  <c r="R386" i="2"/>
  <c r="Z385" i="2"/>
  <c r="X385" i="2"/>
  <c r="R385" i="2"/>
  <c r="Z384" i="2"/>
  <c r="X384" i="2"/>
  <c r="R384" i="2"/>
  <c r="Z383" i="2"/>
  <c r="X383" i="2"/>
  <c r="R383" i="2"/>
  <c r="X382" i="2"/>
  <c r="R382" i="2"/>
  <c r="Z382" i="2"/>
  <c r="Z381" i="2"/>
  <c r="X381" i="2"/>
  <c r="R381" i="2"/>
  <c r="Z380" i="2"/>
  <c r="X380" i="2"/>
  <c r="R380" i="2"/>
  <c r="Z379" i="2"/>
  <c r="X379" i="2"/>
  <c r="R379" i="2"/>
  <c r="AA379" i="2" s="1"/>
  <c r="Z378" i="2"/>
  <c r="X378" i="2"/>
  <c r="R378" i="2"/>
  <c r="R376" i="2"/>
  <c r="X376" i="2"/>
  <c r="Z376" i="2"/>
  <c r="R375" i="2"/>
  <c r="X375" i="2"/>
  <c r="Z375" i="2"/>
  <c r="R374" i="2"/>
  <c r="Z374" i="2"/>
  <c r="X374" i="2"/>
  <c r="X373" i="2"/>
  <c r="Z373" i="2"/>
  <c r="R373" i="2"/>
  <c r="AA373" i="2" s="1"/>
  <c r="R372" i="2"/>
  <c r="X372" i="2"/>
  <c r="Z372" i="2"/>
  <c r="R371" i="2"/>
  <c r="X371" i="2"/>
  <c r="Z371" i="2"/>
  <c r="X370" i="2"/>
  <c r="Z370" i="2"/>
  <c r="R370" i="2"/>
  <c r="X369" i="2"/>
  <c r="Z369" i="2"/>
  <c r="R369" i="2"/>
  <c r="X368" i="2"/>
  <c r="R368" i="2"/>
  <c r="Z368" i="2"/>
  <c r="Z367" i="2"/>
  <c r="X367" i="2"/>
  <c r="R367" i="2"/>
  <c r="R366" i="2"/>
  <c r="Z366" i="2"/>
  <c r="X366" i="2"/>
  <c r="Z365" i="2"/>
  <c r="X365" i="2"/>
  <c r="R365" i="2"/>
  <c r="Z364" i="2"/>
  <c r="X364" i="2"/>
  <c r="R364" i="2"/>
  <c r="X363" i="2"/>
  <c r="Z363" i="2"/>
  <c r="R363" i="2"/>
  <c r="X362" i="2"/>
  <c r="R362" i="2"/>
  <c r="Z361" i="2"/>
  <c r="R361" i="2"/>
  <c r="X361" i="2"/>
  <c r="R360" i="2"/>
  <c r="X360" i="2"/>
  <c r="Z360" i="2"/>
  <c r="R359" i="2"/>
  <c r="X359" i="2"/>
  <c r="Z359" i="2"/>
  <c r="R358" i="2"/>
  <c r="X358" i="2"/>
  <c r="Z358" i="2"/>
  <c r="R357" i="2"/>
  <c r="X357" i="2"/>
  <c r="Z357" i="2"/>
  <c r="R356" i="2"/>
  <c r="X356" i="2"/>
  <c r="Z356" i="2"/>
  <c r="R355" i="2"/>
  <c r="Z355" i="2"/>
  <c r="X355" i="2"/>
  <c r="Z354" i="2"/>
  <c r="X354" i="2"/>
  <c r="R354" i="2"/>
  <c r="Z353" i="2"/>
  <c r="X353" i="2"/>
  <c r="R353" i="2"/>
  <c r="AA353" i="2" s="1"/>
  <c r="X352" i="2"/>
  <c r="R352" i="2"/>
  <c r="Z352" i="2"/>
  <c r="Z351" i="2"/>
  <c r="X351" i="2"/>
  <c r="R351" i="2"/>
  <c r="AA351" i="2" s="1"/>
  <c r="Z350" i="2"/>
  <c r="X350" i="2"/>
  <c r="R350" i="2"/>
  <c r="X349" i="2"/>
  <c r="R349" i="2"/>
  <c r="Z348" i="2"/>
  <c r="X348" i="2"/>
  <c r="R348" i="2"/>
  <c r="X347" i="2"/>
  <c r="R347" i="2"/>
  <c r="Z347" i="2"/>
  <c r="Z346" i="2"/>
  <c r="X346" i="2"/>
  <c r="R346" i="2"/>
  <c r="X345" i="2"/>
  <c r="Z345" i="2"/>
  <c r="R345" i="2"/>
  <c r="AA345" i="2" s="1"/>
  <c r="X344" i="2"/>
  <c r="Z344" i="2"/>
  <c r="R344" i="2"/>
  <c r="R343" i="2"/>
  <c r="Z343" i="2"/>
  <c r="X343" i="2"/>
  <c r="Z342" i="2"/>
  <c r="X342" i="2"/>
  <c r="AA342" i="2" s="1"/>
  <c r="Z341" i="2"/>
  <c r="R341" i="2"/>
  <c r="X341" i="2"/>
  <c r="R340" i="2"/>
  <c r="X340" i="2"/>
  <c r="Z340" i="2"/>
  <c r="X339" i="2"/>
  <c r="R339" i="2"/>
  <c r="Z339" i="2"/>
  <c r="X338" i="2"/>
  <c r="R338" i="2"/>
  <c r="Z338" i="2"/>
  <c r="Z337" i="2"/>
  <c r="X337" i="2"/>
  <c r="R337" i="2"/>
  <c r="X336" i="2"/>
  <c r="Z336" i="2"/>
  <c r="R336" i="2"/>
  <c r="AA336" i="2" s="1"/>
  <c r="X335" i="2"/>
  <c r="Z335" i="2"/>
  <c r="Z334" i="2"/>
  <c r="R334" i="2"/>
  <c r="X334" i="2"/>
  <c r="R333" i="2"/>
  <c r="X333" i="2"/>
  <c r="R332" i="2"/>
  <c r="X332" i="2"/>
  <c r="Z332" i="2"/>
  <c r="R331" i="2"/>
  <c r="X331" i="2"/>
  <c r="Z331" i="2"/>
  <c r="Z330" i="2"/>
  <c r="R330" i="2"/>
  <c r="X330" i="2"/>
  <c r="R329" i="2"/>
  <c r="X329" i="2"/>
  <c r="Z329" i="2"/>
  <c r="Z328" i="2"/>
  <c r="R328" i="2"/>
  <c r="X328" i="2"/>
  <c r="X327" i="2"/>
  <c r="R327" i="2"/>
  <c r="Z327" i="2"/>
  <c r="Z326" i="2"/>
  <c r="R326" i="2"/>
  <c r="X326" i="2"/>
  <c r="X325" i="2"/>
  <c r="Z325" i="2"/>
  <c r="R325" i="2"/>
  <c r="AA325" i="2" s="1"/>
  <c r="Z324" i="2"/>
  <c r="X324" i="2"/>
  <c r="R324" i="2"/>
  <c r="Z323" i="2"/>
  <c r="X323" i="2"/>
  <c r="R323" i="2"/>
  <c r="AA323" i="2" s="1"/>
  <c r="R322" i="2"/>
  <c r="X322" i="2"/>
  <c r="Z322" i="2"/>
  <c r="R321" i="2"/>
  <c r="X321" i="2"/>
  <c r="Z321" i="2"/>
  <c r="X320" i="2"/>
  <c r="R320" i="2"/>
  <c r="Z320" i="2"/>
  <c r="R319" i="2"/>
  <c r="X319" i="2"/>
  <c r="Z319" i="2"/>
  <c r="R318" i="2"/>
  <c r="X318" i="2"/>
  <c r="Z318" i="2"/>
  <c r="R317" i="2"/>
  <c r="X317" i="2"/>
  <c r="Z317" i="2"/>
  <c r="Z316" i="2"/>
  <c r="X316" i="2"/>
  <c r="R316" i="2"/>
  <c r="R315" i="2"/>
  <c r="X315" i="2"/>
  <c r="Z315" i="2"/>
  <c r="R314" i="2"/>
  <c r="X314" i="2"/>
  <c r="Z314" i="2"/>
  <c r="Z313" i="2"/>
  <c r="X313" i="2"/>
  <c r="R313" i="2"/>
  <c r="AA313" i="2" s="1"/>
  <c r="R312" i="2"/>
  <c r="X312" i="2"/>
  <c r="Z312" i="2"/>
  <c r="X311" i="2"/>
  <c r="R311" i="2"/>
  <c r="Z311" i="2"/>
  <c r="X310" i="2"/>
  <c r="Z310" i="2"/>
  <c r="R310" i="2"/>
  <c r="Z309" i="2"/>
  <c r="X309" i="2"/>
  <c r="R309" i="2"/>
  <c r="AA309" i="2" s="1"/>
  <c r="Z308" i="2"/>
  <c r="X308" i="2"/>
  <c r="R308" i="2"/>
  <c r="AA308" i="2" s="1"/>
  <c r="Z307" i="2"/>
  <c r="X307" i="2"/>
  <c r="R307" i="2"/>
  <c r="Z306" i="2"/>
  <c r="X306" i="2"/>
  <c r="R306" i="2"/>
  <c r="AA306" i="2" s="1"/>
  <c r="R305" i="2"/>
  <c r="X305" i="2"/>
  <c r="Z305" i="2"/>
  <c r="X304" i="2"/>
  <c r="Z304" i="2"/>
  <c r="R304" i="2"/>
  <c r="AA304" i="2" s="1"/>
  <c r="X303" i="2"/>
  <c r="Z303" i="2"/>
  <c r="R303" i="2"/>
  <c r="AA303" i="2" s="1"/>
  <c r="R302" i="2"/>
  <c r="X302" i="2"/>
  <c r="Z302" i="2"/>
  <c r="X301" i="2"/>
  <c r="R301" i="2"/>
  <c r="Z301" i="2"/>
  <c r="X300" i="2"/>
  <c r="Z300" i="2"/>
  <c r="R300" i="2"/>
  <c r="AA300" i="2" s="1"/>
  <c r="Z299" i="2"/>
  <c r="X299" i="2"/>
  <c r="R299" i="2"/>
  <c r="AA299" i="2" s="1"/>
  <c r="Z298" i="2"/>
  <c r="X298" i="2"/>
  <c r="R298" i="2"/>
  <c r="AA298" i="2" s="1"/>
  <c r="Z297" i="2"/>
  <c r="R297" i="2"/>
  <c r="X297" i="2"/>
  <c r="Z296" i="2"/>
  <c r="X296" i="2"/>
  <c r="R296" i="2"/>
  <c r="AA296" i="2" s="1"/>
  <c r="R295" i="2"/>
  <c r="X295" i="2"/>
  <c r="Z295" i="2"/>
  <c r="R294" i="2"/>
  <c r="X294" i="2"/>
  <c r="Z294" i="2"/>
  <c r="R293" i="2"/>
  <c r="X293" i="2"/>
  <c r="Z293" i="2"/>
  <c r="Z292" i="2"/>
  <c r="R292" i="2"/>
  <c r="X292" i="2"/>
  <c r="R291" i="2"/>
  <c r="Z291" i="2"/>
  <c r="X291" i="2"/>
  <c r="R290" i="2"/>
  <c r="Z290" i="2"/>
  <c r="X290" i="2"/>
  <c r="Z289" i="2"/>
  <c r="X289" i="2"/>
  <c r="R289" i="2"/>
  <c r="R288" i="2"/>
  <c r="Z288" i="2"/>
  <c r="X288" i="2"/>
  <c r="X287" i="2"/>
  <c r="R287" i="2"/>
  <c r="Z287" i="2"/>
  <c r="X285" i="2"/>
  <c r="R285" i="2"/>
  <c r="Z285" i="2"/>
  <c r="Z284" i="2"/>
  <c r="X284" i="2"/>
  <c r="R284" i="2"/>
  <c r="X283" i="2"/>
  <c r="Z283" i="2"/>
  <c r="R283" i="2"/>
  <c r="AA283" i="2" s="1"/>
  <c r="X282" i="2"/>
  <c r="R282" i="2"/>
  <c r="Z282" i="2"/>
  <c r="R281" i="2"/>
  <c r="X281" i="2"/>
  <c r="Z281" i="2"/>
  <c r="R280" i="2"/>
  <c r="X280" i="2"/>
  <c r="Z280" i="2"/>
  <c r="Z279" i="2"/>
  <c r="X279" i="2"/>
  <c r="R279" i="2"/>
  <c r="AA279" i="2" s="1"/>
  <c r="R278" i="2"/>
  <c r="X278" i="2"/>
  <c r="Z278" i="2"/>
  <c r="X277" i="2"/>
  <c r="Z277" i="2"/>
  <c r="R277" i="2"/>
  <c r="AA277" i="2" s="1"/>
  <c r="Z276" i="2"/>
  <c r="R276" i="2"/>
  <c r="X276" i="2"/>
  <c r="Z275" i="2"/>
  <c r="X275" i="2"/>
  <c r="R275" i="2"/>
  <c r="Z274" i="2"/>
  <c r="R274" i="2"/>
  <c r="X274" i="2"/>
  <c r="R273" i="2"/>
  <c r="X273" i="2"/>
  <c r="Z273" i="2"/>
  <c r="Z272" i="2"/>
  <c r="X272" i="2"/>
  <c r="R272" i="2"/>
  <c r="AA272" i="2" s="1"/>
  <c r="Z271" i="2"/>
  <c r="R271" i="2"/>
  <c r="X271" i="2"/>
  <c r="X270" i="2"/>
  <c r="R270" i="2"/>
  <c r="Z270" i="2"/>
  <c r="Z269" i="2"/>
  <c r="X269" i="2"/>
  <c r="R269" i="2"/>
  <c r="Z268" i="2"/>
  <c r="X268" i="2"/>
  <c r="R268" i="2"/>
  <c r="X267" i="2"/>
  <c r="Z267" i="2"/>
  <c r="R267" i="2"/>
  <c r="Z266" i="2"/>
  <c r="X266" i="2"/>
  <c r="R266" i="2"/>
  <c r="R265" i="2"/>
  <c r="Z265" i="2"/>
  <c r="X265" i="2"/>
  <c r="Z264" i="2"/>
  <c r="X264" i="2"/>
  <c r="R264" i="2"/>
  <c r="Z263" i="2"/>
  <c r="X263" i="2"/>
  <c r="R263" i="2"/>
  <c r="AA263" i="2" s="1"/>
  <c r="Z262" i="2"/>
  <c r="X262" i="2"/>
  <c r="R262" i="2"/>
  <c r="AA262" i="2" s="1"/>
  <c r="R261" i="2"/>
  <c r="X261" i="2"/>
  <c r="Z261" i="2"/>
  <c r="Z260" i="2"/>
  <c r="X260" i="2"/>
  <c r="R260" i="2"/>
  <c r="AA260" i="2" s="1"/>
  <c r="X259" i="2"/>
  <c r="R259" i="2"/>
  <c r="Z259" i="2"/>
  <c r="Z258" i="2"/>
  <c r="X258" i="2"/>
  <c r="R258" i="2"/>
  <c r="AA258" i="2" s="1"/>
  <c r="X257" i="2"/>
  <c r="R257" i="2"/>
  <c r="Z257" i="2"/>
  <c r="Z256" i="2"/>
  <c r="X256" i="2"/>
  <c r="R256" i="2"/>
  <c r="Z255" i="2"/>
  <c r="X255" i="2"/>
  <c r="R255" i="2"/>
  <c r="R254" i="2"/>
  <c r="X254" i="2"/>
  <c r="X253" i="2"/>
  <c r="R253" i="2"/>
  <c r="Z253" i="2"/>
  <c r="Z252" i="2"/>
  <c r="X252" i="2"/>
  <c r="R252" i="2"/>
  <c r="Z251" i="2"/>
  <c r="X251" i="2"/>
  <c r="R251" i="2"/>
  <c r="Z250" i="2"/>
  <c r="X250" i="2"/>
  <c r="R250" i="2"/>
  <c r="AA250" i="2" s="1"/>
  <c r="Z249" i="2"/>
  <c r="X249" i="2"/>
  <c r="R249" i="2"/>
  <c r="Z248" i="2"/>
  <c r="X248" i="2"/>
  <c r="R248" i="2"/>
  <c r="Z247" i="2"/>
  <c r="X247" i="2"/>
  <c r="R247" i="2"/>
  <c r="Z246" i="2"/>
  <c r="X246" i="2"/>
  <c r="R246" i="2"/>
  <c r="Z245" i="2"/>
  <c r="X245" i="2"/>
  <c r="R245" i="2"/>
  <c r="Z244" i="2"/>
  <c r="X244" i="2"/>
  <c r="R244" i="2"/>
  <c r="AA244" i="2" s="1"/>
  <c r="Z243" i="2"/>
  <c r="X243" i="2"/>
  <c r="R243" i="2"/>
  <c r="Z242" i="2"/>
  <c r="X242" i="2"/>
  <c r="R242" i="2"/>
  <c r="AA242" i="2" s="1"/>
  <c r="Z241" i="2"/>
  <c r="X241" i="2"/>
  <c r="R241" i="2"/>
  <c r="Z240" i="2"/>
  <c r="X240" i="2"/>
  <c r="R240" i="2"/>
  <c r="Z239" i="2"/>
  <c r="R239" i="2"/>
  <c r="X239" i="2"/>
  <c r="Z238" i="2"/>
  <c r="X238" i="2"/>
  <c r="R238" i="2"/>
  <c r="X237" i="2"/>
  <c r="R237" i="2"/>
  <c r="Z237" i="2"/>
  <c r="Z236" i="2"/>
  <c r="X236" i="2"/>
  <c r="R236" i="2"/>
  <c r="AA236" i="2" s="1"/>
  <c r="Z235" i="2"/>
  <c r="X235" i="2"/>
  <c r="R235" i="2"/>
  <c r="AA235" i="2" s="1"/>
  <c r="Z234" i="2"/>
  <c r="X234" i="2"/>
  <c r="R234" i="2"/>
  <c r="AA234" i="2" s="1"/>
  <c r="X233" i="2"/>
  <c r="R233" i="2"/>
  <c r="Z233" i="2"/>
  <c r="Z232" i="2"/>
  <c r="X232" i="2"/>
  <c r="R232" i="2"/>
  <c r="Z231" i="2"/>
  <c r="X231" i="2"/>
  <c r="R231" i="2"/>
  <c r="R230" i="2"/>
  <c r="Z230" i="2"/>
  <c r="X230" i="2"/>
  <c r="R229" i="2"/>
  <c r="X229" i="2"/>
  <c r="Z229" i="2"/>
  <c r="Z228" i="2"/>
  <c r="X228" i="2"/>
  <c r="R228" i="2"/>
  <c r="Z227" i="2"/>
  <c r="X227" i="2"/>
  <c r="R227" i="2"/>
  <c r="AA227" i="2" s="1"/>
  <c r="Z226" i="2"/>
  <c r="X226" i="2"/>
  <c r="R226" i="2"/>
  <c r="R225" i="2"/>
  <c r="Z225" i="2"/>
  <c r="X225" i="2"/>
  <c r="R224" i="2"/>
  <c r="X224" i="2"/>
  <c r="Z224" i="2"/>
  <c r="R223" i="2"/>
  <c r="Z223" i="2"/>
  <c r="X223" i="2"/>
  <c r="Z222" i="2"/>
  <c r="X222" i="2"/>
  <c r="R222" i="2"/>
  <c r="X221" i="2"/>
  <c r="R221" i="2"/>
  <c r="Z221" i="2"/>
  <c r="Z220" i="2"/>
  <c r="X220" i="2"/>
  <c r="R220" i="2"/>
  <c r="AA220" i="2" s="1"/>
  <c r="Z219" i="2"/>
  <c r="X219" i="2"/>
  <c r="R219" i="2"/>
  <c r="AA219" i="2" s="1"/>
  <c r="X218" i="2"/>
  <c r="R218" i="2"/>
  <c r="Z218" i="2"/>
  <c r="Z217" i="2"/>
  <c r="X217" i="2"/>
  <c r="R217" i="2"/>
  <c r="Z216" i="2"/>
  <c r="X216" i="2"/>
  <c r="R216" i="2"/>
  <c r="AA216" i="2" s="1"/>
  <c r="Z215" i="2"/>
  <c r="X215" i="2"/>
  <c r="R215" i="2"/>
  <c r="AA215" i="2" s="1"/>
  <c r="Z214" i="2"/>
  <c r="X214" i="2"/>
  <c r="R214" i="2"/>
  <c r="AA214" i="2" s="1"/>
  <c r="Z182" i="2"/>
  <c r="X182" i="2"/>
  <c r="R182" i="2"/>
  <c r="X162" i="2"/>
  <c r="Z162" i="2"/>
  <c r="R162" i="2"/>
  <c r="AA162" i="2" s="1"/>
  <c r="Z134" i="2"/>
  <c r="X134" i="2"/>
  <c r="R134" i="2"/>
  <c r="AA134" i="2" s="1"/>
  <c r="Z31" i="2"/>
  <c r="X31" i="2"/>
  <c r="R31" i="2"/>
  <c r="AA31" i="2" s="1"/>
  <c r="AA182" i="2"/>
  <c r="Z213" i="2"/>
  <c r="X213" i="2"/>
  <c r="R213" i="2"/>
  <c r="Z212" i="2"/>
  <c r="X212" i="2"/>
  <c r="R212" i="2"/>
  <c r="AA212" i="2" s="1"/>
  <c r="Z211" i="2"/>
  <c r="X211" i="2"/>
  <c r="R211" i="2"/>
  <c r="AA211" i="2" s="1"/>
  <c r="Z210" i="2"/>
  <c r="X210" i="2"/>
  <c r="R210" i="2"/>
  <c r="AA210" i="2" s="1"/>
  <c r="Z209" i="2"/>
  <c r="X209" i="2"/>
  <c r="R209" i="2"/>
  <c r="Z208" i="2"/>
  <c r="X208" i="2"/>
  <c r="R208" i="2"/>
  <c r="AA208" i="2" s="1"/>
  <c r="Z207" i="2"/>
  <c r="X207" i="2"/>
  <c r="R207" i="2"/>
  <c r="Z206" i="2"/>
  <c r="X206" i="2"/>
  <c r="R206" i="2"/>
  <c r="Z205" i="2"/>
  <c r="X205" i="2"/>
  <c r="R205" i="2"/>
  <c r="AA205" i="2" s="1"/>
  <c r="Z204" i="2"/>
  <c r="X204" i="2"/>
  <c r="R204" i="2"/>
  <c r="AA204" i="2" s="1"/>
  <c r="Z203" i="2"/>
  <c r="X203" i="2"/>
  <c r="R203" i="2"/>
  <c r="AA203" i="2" s="1"/>
  <c r="Z202" i="2"/>
  <c r="X202" i="2"/>
  <c r="R202" i="2"/>
  <c r="Z201" i="2"/>
  <c r="X201" i="2"/>
  <c r="R201" i="2"/>
  <c r="AA201" i="2" s="1"/>
  <c r="Z200" i="2"/>
  <c r="X200" i="2"/>
  <c r="R200" i="2"/>
  <c r="AA200" i="2" s="1"/>
  <c r="Z199" i="2"/>
  <c r="X199" i="2"/>
  <c r="R199" i="2"/>
  <c r="AA199" i="2" s="1"/>
  <c r="Z198" i="2"/>
  <c r="X198" i="2"/>
  <c r="R198" i="2"/>
  <c r="AA198" i="2" s="1"/>
  <c r="R197" i="2"/>
  <c r="X197" i="2"/>
  <c r="Z197" i="2"/>
  <c r="R196" i="2"/>
  <c r="X196" i="2"/>
  <c r="Z196" i="2"/>
  <c r="X195" i="2"/>
  <c r="Z195" i="2"/>
  <c r="R195" i="2"/>
  <c r="AA195" i="2" s="1"/>
  <c r="Z194" i="2"/>
  <c r="X194" i="2"/>
  <c r="R194" i="2"/>
  <c r="X193" i="2"/>
  <c r="Z193" i="2"/>
  <c r="R193" i="2"/>
  <c r="Z192" i="2"/>
  <c r="X192" i="2"/>
  <c r="R192" i="2"/>
  <c r="AA192" i="2" s="1"/>
  <c r="Z191" i="2"/>
  <c r="X191" i="2"/>
  <c r="R191" i="2"/>
  <c r="AA191" i="2" s="1"/>
  <c r="Z190" i="2"/>
  <c r="X190" i="2"/>
  <c r="R190" i="2"/>
  <c r="AA190" i="2" s="1"/>
  <c r="Z189" i="2"/>
  <c r="X189" i="2"/>
  <c r="R189" i="2"/>
  <c r="AA189" i="2" s="1"/>
  <c r="Z188" i="2"/>
  <c r="X188" i="2"/>
  <c r="R188" i="2"/>
  <c r="Z187" i="2"/>
  <c r="R187" i="2"/>
  <c r="X187" i="2"/>
  <c r="Z186" i="2"/>
  <c r="X186" i="2"/>
  <c r="R186" i="2"/>
  <c r="Z185" i="2"/>
  <c r="R185" i="2"/>
  <c r="X185" i="2"/>
  <c r="R184" i="2"/>
  <c r="X184" i="2"/>
  <c r="Z184" i="2"/>
  <c r="Z183" i="2"/>
  <c r="R183" i="2"/>
  <c r="X183" i="2"/>
  <c r="Z181" i="2"/>
  <c r="X181" i="2"/>
  <c r="R181" i="2"/>
  <c r="Z180" i="2"/>
  <c r="X180" i="2"/>
  <c r="R180" i="2"/>
  <c r="AA180" i="2" s="1"/>
  <c r="Z179" i="2"/>
  <c r="X179" i="2"/>
  <c r="R179" i="2"/>
  <c r="AA179" i="2" s="1"/>
  <c r="Z178" i="2"/>
  <c r="X178" i="2"/>
  <c r="R178" i="2"/>
  <c r="AA178" i="2" s="1"/>
  <c r="Z177" i="2"/>
  <c r="X177" i="2"/>
  <c r="R177" i="2"/>
  <c r="AA177" i="2" s="1"/>
  <c r="Z176" i="2"/>
  <c r="X176" i="2"/>
  <c r="R176" i="2"/>
  <c r="AA176" i="2" s="1"/>
  <c r="R175" i="2"/>
  <c r="X175" i="2"/>
  <c r="Z175" i="2"/>
  <c r="Z174" i="2"/>
  <c r="R174" i="2"/>
  <c r="X174" i="2"/>
  <c r="Z173" i="2"/>
  <c r="X173" i="2"/>
  <c r="R173" i="2"/>
  <c r="AA173" i="2" s="1"/>
  <c r="Z172" i="2"/>
  <c r="X172" i="2"/>
  <c r="R172" i="2"/>
  <c r="AA172" i="2" s="1"/>
  <c r="Z171" i="2"/>
  <c r="X171" i="2"/>
  <c r="R171" i="2"/>
  <c r="AA171" i="2" s="1"/>
  <c r="Z170" i="2"/>
  <c r="X170" i="2"/>
  <c r="R170" i="2"/>
  <c r="R169" i="2"/>
  <c r="X169" i="2"/>
  <c r="Z169" i="2"/>
  <c r="R168" i="2"/>
  <c r="X168" i="2"/>
  <c r="Z168" i="2"/>
  <c r="X167" i="2"/>
  <c r="Z167" i="2"/>
  <c r="R167" i="2"/>
  <c r="X166" i="2"/>
  <c r="R166" i="2"/>
  <c r="Z166" i="2"/>
  <c r="X165" i="2"/>
  <c r="R165" i="2"/>
  <c r="Z165" i="2"/>
  <c r="R164" i="2"/>
  <c r="X164" i="2"/>
  <c r="Z164" i="2"/>
  <c r="X163" i="2"/>
  <c r="Z163" i="2"/>
  <c r="R163" i="2"/>
  <c r="Z161" i="2"/>
  <c r="X161" i="2"/>
  <c r="R161" i="2"/>
  <c r="AA161" i="2" s="1"/>
  <c r="X160" i="2"/>
  <c r="Z160" i="2"/>
  <c r="R160" i="2"/>
  <c r="X159" i="2"/>
  <c r="Z159" i="2"/>
  <c r="R159" i="2"/>
  <c r="AA159" i="2" s="1"/>
  <c r="X158" i="2"/>
  <c r="Z158" i="2"/>
  <c r="R158" i="2"/>
  <c r="R157" i="2"/>
  <c r="X157" i="2"/>
  <c r="Z157" i="2"/>
  <c r="Z156" i="2"/>
  <c r="R156" i="2"/>
  <c r="X156" i="2"/>
  <c r="X155" i="2"/>
  <c r="R155" i="2"/>
  <c r="Z155" i="2"/>
  <c r="X154" i="2"/>
  <c r="R154" i="2"/>
  <c r="Z154" i="2"/>
  <c r="Z153" i="2"/>
  <c r="R153" i="2"/>
  <c r="AA153" i="2" s="1"/>
  <c r="Z152" i="2"/>
  <c r="X152" i="2"/>
  <c r="R152" i="2"/>
  <c r="Z151" i="2"/>
  <c r="X151" i="2"/>
  <c r="R151" i="2"/>
  <c r="Z150" i="2"/>
  <c r="R150" i="2"/>
  <c r="X150" i="2"/>
  <c r="Z149" i="2"/>
  <c r="X149" i="2"/>
  <c r="R149" i="2"/>
  <c r="AA149" i="2" s="1"/>
  <c r="X148" i="2"/>
  <c r="R148" i="2"/>
  <c r="Z148" i="2"/>
  <c r="Z147" i="2"/>
  <c r="R147" i="2"/>
  <c r="X147" i="2"/>
  <c r="R146" i="2"/>
  <c r="X146" i="2"/>
  <c r="Z146" i="2"/>
  <c r="X145" i="2"/>
  <c r="Z145" i="2"/>
  <c r="R145" i="2"/>
  <c r="Z144" i="2"/>
  <c r="X144" i="2"/>
  <c r="R144" i="2"/>
  <c r="R143" i="2"/>
  <c r="Z143" i="2"/>
  <c r="X143" i="2"/>
  <c r="R142" i="2"/>
  <c r="X142" i="2"/>
  <c r="Z142" i="2"/>
  <c r="R141" i="2"/>
  <c r="X141" i="2"/>
  <c r="Z141" i="2"/>
  <c r="Z140" i="2"/>
  <c r="X140" i="2"/>
  <c r="R140" i="2"/>
  <c r="AA140" i="2" s="1"/>
  <c r="X139" i="2"/>
  <c r="Z139" i="2"/>
  <c r="R139" i="2"/>
  <c r="X138" i="2"/>
  <c r="Z138" i="2"/>
  <c r="R138" i="2"/>
  <c r="AA138" i="2" s="1"/>
  <c r="Z137" i="2"/>
  <c r="X137" i="2"/>
  <c r="R137" i="2"/>
  <c r="R136" i="2"/>
  <c r="X136" i="2"/>
  <c r="R135" i="2"/>
  <c r="Z135" i="2"/>
  <c r="X135" i="2"/>
  <c r="Z133" i="2"/>
  <c r="R133" i="2"/>
  <c r="X133" i="2"/>
  <c r="Z132" i="2"/>
  <c r="X132" i="2"/>
  <c r="R132" i="2"/>
  <c r="AA132" i="2" s="1"/>
  <c r="R131" i="2"/>
  <c r="Z131" i="2"/>
  <c r="X131" i="2"/>
  <c r="Z130" i="2"/>
  <c r="X130" i="2"/>
  <c r="R130" i="2"/>
  <c r="AA130" i="2" s="1"/>
  <c r="Z129" i="2"/>
  <c r="X129" i="2"/>
  <c r="AA129" i="2" s="1"/>
  <c r="Z128" i="2"/>
  <c r="X128" i="2"/>
  <c r="R128" i="2"/>
  <c r="AA128" i="2" s="1"/>
  <c r="X127" i="2"/>
  <c r="Z127" i="2"/>
  <c r="R127" i="2"/>
  <c r="AA127" i="2" s="1"/>
  <c r="Z126" i="2"/>
  <c r="X126" i="2"/>
  <c r="R126" i="2"/>
  <c r="R125" i="2"/>
  <c r="Z125" i="2"/>
  <c r="X125" i="2"/>
  <c r="Z124" i="2"/>
  <c r="X124" i="2"/>
  <c r="R124" i="2"/>
  <c r="R123" i="2"/>
  <c r="Z123" i="2"/>
  <c r="X123" i="2"/>
  <c r="R122" i="2"/>
  <c r="Z122" i="2"/>
  <c r="X122" i="2"/>
  <c r="R121" i="2"/>
  <c r="X121" i="2"/>
  <c r="Z121" i="2"/>
  <c r="X120" i="2"/>
  <c r="R120" i="2"/>
  <c r="Z120" i="2"/>
  <c r="R119" i="2"/>
  <c r="X119" i="2"/>
  <c r="Z118" i="2"/>
  <c r="X118" i="2"/>
  <c r="R118" i="2"/>
  <c r="AA118" i="2" s="1"/>
  <c r="R117" i="2"/>
  <c r="X117" i="2"/>
  <c r="Z117" i="2"/>
  <c r="Z116" i="2"/>
  <c r="X116" i="2"/>
  <c r="R116" i="2"/>
  <c r="AA116" i="2" s="1"/>
  <c r="X115" i="2"/>
  <c r="R115" i="2"/>
  <c r="Z115" i="2"/>
  <c r="R114" i="2"/>
  <c r="X114" i="2"/>
  <c r="Z114" i="2"/>
  <c r="Z113" i="2"/>
  <c r="R113" i="2"/>
  <c r="X113" i="2"/>
  <c r="Z112" i="2"/>
  <c r="R112" i="2"/>
  <c r="AA112" i="2" s="1"/>
  <c r="Z111" i="2"/>
  <c r="X111" i="2"/>
  <c r="AA111" i="2" s="1"/>
  <c r="R110" i="2"/>
  <c r="X110" i="2"/>
  <c r="Z110" i="2"/>
  <c r="R109" i="2"/>
  <c r="X109" i="2"/>
  <c r="Z109" i="2"/>
  <c r="R108" i="2"/>
  <c r="X108" i="2"/>
  <c r="Z108" i="2"/>
  <c r="Z107" i="2"/>
  <c r="X107" i="2"/>
  <c r="R107" i="2"/>
  <c r="Z106" i="2"/>
  <c r="R106" i="2"/>
  <c r="X106" i="2"/>
  <c r="R105" i="2"/>
  <c r="Z105" i="2"/>
  <c r="X105" i="2"/>
  <c r="Z104" i="2"/>
  <c r="X104" i="2"/>
  <c r="R104" i="2"/>
  <c r="AA104" i="2" s="1"/>
  <c r="Z103" i="2"/>
  <c r="X103" i="2"/>
  <c r="R103" i="2"/>
  <c r="AA103" i="2" s="1"/>
  <c r="Z102" i="2"/>
  <c r="X102" i="2"/>
  <c r="R102" i="2"/>
  <c r="AA102" i="2" s="1"/>
  <c r="R101" i="2"/>
  <c r="Z101" i="2"/>
  <c r="X101" i="2"/>
  <c r="R100" i="2"/>
  <c r="X100" i="2"/>
  <c r="Z100" i="2"/>
  <c r="Z99" i="2"/>
  <c r="X99" i="2"/>
  <c r="R99" i="2"/>
  <c r="AA99" i="2" s="1"/>
  <c r="R98" i="2"/>
  <c r="X98" i="2"/>
  <c r="Z98" i="2"/>
  <c r="Z97" i="2"/>
  <c r="X97" i="2"/>
  <c r="R97" i="2"/>
  <c r="AA97" i="2" s="1"/>
  <c r="Z96" i="2"/>
  <c r="R96" i="2"/>
  <c r="X96" i="2"/>
  <c r="Z95" i="2"/>
  <c r="X95" i="2"/>
  <c r="R95" i="2"/>
  <c r="AA95" i="2" s="1"/>
  <c r="Z94" i="2"/>
  <c r="R94" i="2"/>
  <c r="X94" i="2"/>
  <c r="X93" i="2"/>
  <c r="R93" i="2"/>
  <c r="Z93" i="2"/>
  <c r="R92" i="2"/>
  <c r="Z92" i="2"/>
  <c r="X92" i="2"/>
  <c r="Z91" i="2"/>
  <c r="R91" i="2"/>
  <c r="X91" i="2"/>
  <c r="X90" i="2"/>
  <c r="Z90" i="2"/>
  <c r="R90" i="2"/>
  <c r="X89" i="2"/>
  <c r="Z89" i="2"/>
  <c r="R89" i="2"/>
  <c r="Z88" i="2"/>
  <c r="R88" i="2"/>
  <c r="X88" i="2"/>
  <c r="Z87" i="2"/>
  <c r="R87" i="2"/>
  <c r="X87" i="2"/>
  <c r="X86" i="2"/>
  <c r="Z86" i="2"/>
  <c r="R86" i="2"/>
  <c r="Z85" i="2"/>
  <c r="R85" i="2"/>
  <c r="X85" i="2"/>
  <c r="X84" i="2"/>
  <c r="Z84" i="2"/>
  <c r="R84" i="2"/>
  <c r="AA84" i="2" s="1"/>
  <c r="Z83" i="2"/>
  <c r="X83" i="2"/>
  <c r="R83" i="2"/>
  <c r="AA83" i="2" s="1"/>
  <c r="X82" i="2"/>
  <c r="R82" i="2"/>
  <c r="Z82" i="2"/>
  <c r="R81" i="2"/>
  <c r="Z81" i="2"/>
  <c r="X81" i="2"/>
  <c r="Z80" i="2"/>
  <c r="R80" i="2"/>
  <c r="X80" i="2"/>
  <c r="R79" i="2"/>
  <c r="X79" i="2"/>
  <c r="Z79" i="2"/>
  <c r="R78" i="2"/>
  <c r="X78" i="2"/>
  <c r="Z78" i="2"/>
  <c r="R77" i="2"/>
  <c r="X77" i="2"/>
  <c r="Z77" i="2"/>
  <c r="Z76" i="2"/>
  <c r="R76" i="2"/>
  <c r="X76" i="2"/>
  <c r="R75" i="2"/>
  <c r="X75" i="2"/>
  <c r="Z75" i="2"/>
  <c r="R74" i="2"/>
  <c r="X74" i="2"/>
  <c r="Z74" i="2"/>
  <c r="R73" i="2"/>
  <c r="X73" i="2"/>
  <c r="Z73" i="2"/>
  <c r="R72" i="2"/>
  <c r="X72" i="2"/>
  <c r="Z72" i="2"/>
  <c r="X71" i="2"/>
  <c r="R71" i="2"/>
  <c r="Z71" i="2"/>
  <c r="Z70" i="2"/>
  <c r="X70" i="2"/>
  <c r="R70" i="2"/>
  <c r="AA70" i="2" s="1"/>
  <c r="X69" i="2"/>
  <c r="Z69" i="2"/>
  <c r="R69" i="2"/>
  <c r="Z68" i="2"/>
  <c r="X68" i="2"/>
  <c r="R68" i="2"/>
  <c r="Z67" i="2"/>
  <c r="X67" i="2"/>
  <c r="R67" i="2"/>
  <c r="AA67" i="2" s="1"/>
  <c r="X66" i="2"/>
  <c r="R66" i="2"/>
  <c r="Z66" i="2"/>
  <c r="R65" i="2"/>
  <c r="X65" i="2"/>
  <c r="Z65" i="2"/>
  <c r="Z64" i="2"/>
  <c r="R64" i="2"/>
  <c r="X64" i="2"/>
  <c r="Z63" i="2"/>
  <c r="X63" i="2"/>
  <c r="R63" i="2"/>
  <c r="Z62" i="2"/>
  <c r="R62" i="2"/>
  <c r="X62" i="2"/>
  <c r="X61" i="2"/>
  <c r="R61" i="2"/>
  <c r="Z61" i="2"/>
  <c r="Z60" i="2"/>
  <c r="R60" i="2"/>
  <c r="X60" i="2"/>
  <c r="X59" i="2"/>
  <c r="Z59" i="2"/>
  <c r="R59" i="2"/>
  <c r="X58" i="2"/>
  <c r="Z58" i="2"/>
  <c r="R58" i="2"/>
  <c r="Z57" i="2"/>
  <c r="X57" i="2"/>
  <c r="R57" i="2"/>
  <c r="Z56" i="2"/>
  <c r="X56" i="2"/>
  <c r="R56" i="2"/>
  <c r="Z55" i="2"/>
  <c r="X55" i="2"/>
  <c r="R55" i="2"/>
  <c r="AA55" i="2" s="1"/>
  <c r="Z54" i="2"/>
  <c r="X54" i="2"/>
  <c r="R54" i="2"/>
  <c r="AA54" i="2" s="1"/>
  <c r="X53" i="2"/>
  <c r="R53" i="2"/>
  <c r="Z53" i="2"/>
  <c r="Z52" i="2"/>
  <c r="R52" i="2"/>
  <c r="X52" i="2"/>
  <c r="R51" i="2"/>
  <c r="X51" i="2"/>
  <c r="Z51" i="2"/>
  <c r="Z50" i="2"/>
  <c r="R50" i="2"/>
  <c r="X50" i="2"/>
  <c r="R49" i="2"/>
  <c r="X49" i="2"/>
  <c r="Z49" i="2"/>
  <c r="R48" i="2"/>
  <c r="X48" i="2"/>
  <c r="Z48" i="2"/>
  <c r="Z47" i="2"/>
  <c r="X47" i="2"/>
  <c r="R47" i="2"/>
  <c r="Z46" i="2"/>
  <c r="R46" i="2"/>
  <c r="X46" i="2"/>
  <c r="X45" i="2"/>
  <c r="Z45" i="2"/>
  <c r="R45" i="2"/>
  <c r="X44" i="2"/>
  <c r="R44" i="2"/>
  <c r="Z43" i="2"/>
  <c r="R43" i="2"/>
  <c r="X43" i="2"/>
  <c r="Z42" i="2"/>
  <c r="X42" i="2"/>
  <c r="R42" i="2"/>
  <c r="AA42" i="2" s="1"/>
  <c r="R41" i="2"/>
  <c r="X41" i="2"/>
  <c r="Z41" i="2"/>
  <c r="X40" i="2"/>
  <c r="Z40" i="2"/>
  <c r="R40" i="2"/>
  <c r="Z39" i="2"/>
  <c r="R39" i="2"/>
  <c r="X39" i="2"/>
  <c r="Z38" i="2"/>
  <c r="X38" i="2"/>
  <c r="R38" i="2"/>
  <c r="AA38" i="2" s="1"/>
  <c r="Z37" i="2"/>
  <c r="X37" i="2"/>
  <c r="R37" i="2"/>
  <c r="AA37" i="2" s="1"/>
  <c r="X36" i="2"/>
  <c r="Z36" i="2"/>
  <c r="R36" i="2"/>
  <c r="AA36" i="2" s="1"/>
  <c r="X35" i="2"/>
  <c r="Z35" i="2"/>
  <c r="R35" i="2"/>
  <c r="AA35" i="2" s="1"/>
  <c r="R34" i="2"/>
  <c r="X34" i="2"/>
  <c r="Z34" i="2"/>
  <c r="R33" i="2"/>
  <c r="Z33" i="2"/>
  <c r="X33" i="2"/>
  <c r="X32" i="2"/>
  <c r="Z32" i="2"/>
  <c r="R32" i="2"/>
  <c r="AA32" i="2" s="1"/>
  <c r="R30" i="2"/>
  <c r="X30" i="2"/>
  <c r="Z30" i="2"/>
  <c r="R29" i="2"/>
  <c r="X29" i="2"/>
  <c r="Z29" i="2"/>
  <c r="X28" i="2"/>
  <c r="Z28" i="2"/>
  <c r="R28" i="2"/>
  <c r="AA28" i="2" s="1"/>
  <c r="R27" i="2"/>
  <c r="X27" i="2"/>
  <c r="Z27" i="2"/>
  <c r="Z26" i="2"/>
  <c r="R26" i="2"/>
  <c r="X26" i="2"/>
  <c r="Z25" i="2"/>
  <c r="R25" i="2"/>
  <c r="X25" i="2"/>
  <c r="Z24" i="2"/>
  <c r="X24" i="2"/>
  <c r="R24" i="2"/>
  <c r="AA24" i="2" s="1"/>
  <c r="R23" i="2"/>
  <c r="X23" i="2"/>
  <c r="Z23" i="2"/>
  <c r="Z22" i="2"/>
  <c r="X22" i="2"/>
  <c r="R22" i="2"/>
  <c r="Z21" i="2"/>
  <c r="X21" i="2"/>
  <c r="R21" i="2"/>
  <c r="AA21" i="2" s="1"/>
  <c r="R20" i="2"/>
  <c r="X20" i="2"/>
  <c r="Z20" i="2"/>
  <c r="Z19" i="2"/>
  <c r="X19" i="2"/>
  <c r="R19" i="2"/>
  <c r="AA19" i="2" s="1"/>
  <c r="X18" i="2"/>
  <c r="Z18" i="2"/>
  <c r="R18" i="2"/>
  <c r="AA18" i="2" s="1"/>
  <c r="Z17" i="2"/>
  <c r="R17" i="2"/>
  <c r="X17" i="2"/>
  <c r="X16" i="2"/>
  <c r="Z16" i="2"/>
  <c r="R16" i="2"/>
  <c r="Z15" i="2"/>
  <c r="R15" i="2"/>
  <c r="X15" i="2"/>
  <c r="X14" i="2"/>
  <c r="Z14" i="2"/>
  <c r="R14" i="2"/>
  <c r="AA14" i="2" s="1"/>
  <c r="X13" i="2"/>
  <c r="Z13" i="2"/>
  <c r="R13" i="2"/>
  <c r="X12" i="2"/>
  <c r="Z12" i="2"/>
  <c r="R12" i="2"/>
  <c r="AA12" i="2" s="1"/>
  <c r="Z11" i="2"/>
  <c r="R11" i="2"/>
  <c r="X11" i="2"/>
  <c r="R10" i="2"/>
  <c r="Z10" i="2"/>
  <c r="X10" i="2"/>
  <c r="Z9" i="2"/>
  <c r="R9" i="2"/>
  <c r="X9" i="2"/>
  <c r="R8" i="2"/>
  <c r="Z8" i="2"/>
  <c r="X8" i="2"/>
  <c r="X7" i="2"/>
  <c r="R7" i="2"/>
  <c r="Z7" i="2"/>
  <c r="Z6" i="2"/>
  <c r="R6" i="2"/>
  <c r="X6" i="2"/>
  <c r="Z5" i="2"/>
  <c r="R5" i="2"/>
  <c r="X5" i="2"/>
  <c r="R4" i="2"/>
  <c r="X4" i="2"/>
  <c r="Z3" i="2"/>
  <c r="X3" i="2"/>
  <c r="R3" i="2"/>
  <c r="Z2" i="2"/>
  <c r="X2" i="2"/>
  <c r="R2" i="2"/>
  <c r="AA377" i="2" l="1"/>
  <c r="AA428" i="2"/>
  <c r="AA485" i="2"/>
  <c r="AA213" i="2"/>
  <c r="AA335" i="2"/>
  <c r="AA534" i="2"/>
  <c r="AA520" i="2"/>
  <c r="AA523" i="2"/>
  <c r="AA531" i="2"/>
  <c r="AA528" i="2"/>
  <c r="AA524" i="2"/>
  <c r="AA533" i="2"/>
  <c r="AA522" i="2"/>
  <c r="AA532" i="2"/>
  <c r="AA525" i="2"/>
  <c r="AA517" i="2"/>
  <c r="AA515" i="2"/>
  <c r="AA530" i="2"/>
  <c r="AA526" i="2"/>
  <c r="AA521" i="2"/>
  <c r="AA519" i="2"/>
  <c r="AA518" i="2"/>
  <c r="AA507" i="2"/>
  <c r="AA500" i="2"/>
  <c r="AA495" i="2"/>
  <c r="AA494" i="2"/>
  <c r="AA493" i="2"/>
  <c r="AA490" i="2"/>
  <c r="AA508" i="2"/>
  <c r="AA506" i="2"/>
  <c r="AA499" i="2"/>
  <c r="AA511" i="2"/>
  <c r="AA498" i="2"/>
  <c r="AA513" i="2"/>
  <c r="AA503" i="2"/>
  <c r="AA488" i="2"/>
  <c r="AA514" i="2"/>
  <c r="AA501" i="2"/>
  <c r="AA492" i="2"/>
  <c r="AA484" i="2"/>
  <c r="AA512" i="2"/>
  <c r="AA505" i="2"/>
  <c r="AA496" i="2"/>
  <c r="AA489" i="2"/>
  <c r="AA486" i="2"/>
  <c r="AA504" i="2"/>
  <c r="AA476" i="2"/>
  <c r="AA471" i="2"/>
  <c r="AA482" i="2"/>
  <c r="AA477" i="2"/>
  <c r="AA475" i="2"/>
  <c r="AA474" i="2"/>
  <c r="AA473" i="2"/>
  <c r="AA483" i="2"/>
  <c r="AA481" i="2"/>
  <c r="AA479" i="2"/>
  <c r="AA478" i="2"/>
  <c r="AA472" i="2"/>
  <c r="AA470" i="2"/>
  <c r="AA469" i="2"/>
  <c r="AA267" i="2"/>
  <c r="AA237" i="2"/>
  <c r="AA139" i="2"/>
  <c r="AA458" i="2"/>
  <c r="AA467" i="2"/>
  <c r="AA466" i="2"/>
  <c r="AA457" i="2"/>
  <c r="AA456" i="2"/>
  <c r="AA462" i="2"/>
  <c r="AA468" i="2"/>
  <c r="AA461" i="2"/>
  <c r="AA455" i="2"/>
  <c r="AA454" i="2"/>
  <c r="AA453" i="2"/>
  <c r="AA447" i="2"/>
  <c r="AA450" i="2"/>
  <c r="AA452" i="2"/>
  <c r="AA451" i="2"/>
  <c r="AA443" i="2"/>
  <c r="AA444" i="2"/>
  <c r="AA446" i="2"/>
  <c r="AA441" i="2"/>
  <c r="AA445" i="2"/>
  <c r="AA425" i="2"/>
  <c r="AA431" i="2"/>
  <c r="AA422" i="2"/>
  <c r="AA421" i="2"/>
  <c r="AA419" i="2"/>
  <c r="AA416" i="2"/>
  <c r="AA410" i="2"/>
  <c r="AA407" i="2"/>
  <c r="AA417" i="2"/>
  <c r="AA412" i="2"/>
  <c r="AA409" i="2"/>
  <c r="AA401" i="2"/>
  <c r="AA405" i="2"/>
  <c r="AA395" i="2"/>
  <c r="AA398" i="2"/>
  <c r="AA396" i="2"/>
  <c r="AA404" i="2"/>
  <c r="AA402" i="2"/>
  <c r="AA399" i="2"/>
  <c r="AA400" i="2"/>
  <c r="AA397" i="2"/>
  <c r="AA386" i="2"/>
  <c r="AA382" i="2"/>
  <c r="AA381" i="2"/>
  <c r="AA394" i="2"/>
  <c r="AA388" i="2"/>
  <c r="AA385" i="2"/>
  <c r="AA383" i="2"/>
  <c r="AA384" i="2"/>
  <c r="AA380" i="2"/>
  <c r="AA378" i="2"/>
  <c r="AA392" i="2"/>
  <c r="AA387" i="2"/>
  <c r="AA376" i="2"/>
  <c r="AA375" i="2"/>
  <c r="AA372" i="2"/>
  <c r="AA393" i="2"/>
  <c r="AA390" i="2"/>
  <c r="AA374" i="2"/>
  <c r="AA371" i="2"/>
  <c r="AA361" i="2"/>
  <c r="AA349" i="2"/>
  <c r="AA362" i="2"/>
  <c r="AA358" i="2"/>
  <c r="AA347" i="2"/>
  <c r="AA346" i="2"/>
  <c r="AA339" i="2"/>
  <c r="AA338" i="2"/>
  <c r="AA330" i="2"/>
  <c r="AA370" i="2"/>
  <c r="AA365" i="2"/>
  <c r="AA364" i="2"/>
  <c r="AA363" i="2"/>
  <c r="AA357" i="2"/>
  <c r="AA354" i="2"/>
  <c r="AA348" i="2"/>
  <c r="AA341" i="2"/>
  <c r="AA340" i="2"/>
  <c r="AA337" i="2"/>
  <c r="AA369" i="2"/>
  <c r="AA350" i="2"/>
  <c r="AA344" i="2"/>
  <c r="AA334" i="2"/>
  <c r="AA333" i="2"/>
  <c r="AA367" i="2"/>
  <c r="AA360" i="2"/>
  <c r="AA359" i="2"/>
  <c r="AA355" i="2"/>
  <c r="AA343" i="2"/>
  <c r="AA331" i="2"/>
  <c r="AA329" i="2"/>
  <c r="AA366" i="2"/>
  <c r="AA352" i="2"/>
  <c r="AA332" i="2"/>
  <c r="AA368" i="2"/>
  <c r="AA356" i="2"/>
  <c r="AA318" i="2"/>
  <c r="AA316" i="2"/>
  <c r="AA315" i="2"/>
  <c r="AA311" i="2"/>
  <c r="AA328" i="2"/>
  <c r="AA324" i="2"/>
  <c r="AA319" i="2"/>
  <c r="AA317" i="2"/>
  <c r="AA312" i="2"/>
  <c r="AA310" i="2"/>
  <c r="AA307" i="2"/>
  <c r="AA326" i="2"/>
  <c r="AA305" i="2"/>
  <c r="AA327" i="2"/>
  <c r="AA322" i="2"/>
  <c r="AA320" i="2"/>
  <c r="AA314" i="2"/>
  <c r="AA321" i="2"/>
  <c r="AA295" i="2"/>
  <c r="AA291" i="2"/>
  <c r="AA282" i="2"/>
  <c r="AA293" i="2"/>
  <c r="AA285" i="2"/>
  <c r="AA284" i="2"/>
  <c r="AA289" i="2"/>
  <c r="AA280" i="2"/>
  <c r="AA276" i="2"/>
  <c r="AA271" i="2"/>
  <c r="AA274" i="2"/>
  <c r="AA302" i="2"/>
  <c r="AA294" i="2"/>
  <c r="AA290" i="2"/>
  <c r="AA288" i="2"/>
  <c r="AA287" i="2"/>
  <c r="AA281" i="2"/>
  <c r="AA275" i="2"/>
  <c r="AA301" i="2"/>
  <c r="AA297" i="2"/>
  <c r="AA292" i="2"/>
  <c r="AA278" i="2"/>
  <c r="AA273" i="2"/>
  <c r="AA269" i="2"/>
  <c r="AA259" i="2"/>
  <c r="AA254" i="2"/>
  <c r="AA253" i="2"/>
  <c r="AA251" i="2"/>
  <c r="AA241" i="2"/>
  <c r="AA268" i="2"/>
  <c r="AA264" i="2"/>
  <c r="AA256" i="2"/>
  <c r="AA249" i="2"/>
  <c r="AA247" i="2"/>
  <c r="AA243" i="2"/>
  <c r="AA257" i="2"/>
  <c r="AA252" i="2"/>
  <c r="AA246" i="2"/>
  <c r="AA245" i="2"/>
  <c r="AA240" i="2"/>
  <c r="AA266" i="2"/>
  <c r="AA255" i="2"/>
  <c r="AA248" i="2"/>
  <c r="AA238" i="2"/>
  <c r="AA265" i="2"/>
  <c r="AA239" i="2"/>
  <c r="AA270" i="2"/>
  <c r="AA261" i="2"/>
  <c r="AA232" i="2"/>
  <c r="AA228" i="2"/>
  <c r="AA231" i="2"/>
  <c r="AA233" i="2"/>
  <c r="AA230" i="2"/>
  <c r="AA229" i="2"/>
  <c r="AA226" i="2"/>
  <c r="AA222" i="2"/>
  <c r="AA223" i="2"/>
  <c r="AA221" i="2"/>
  <c r="AA224" i="2"/>
  <c r="AA225" i="2"/>
  <c r="AA156" i="2"/>
  <c r="AA217" i="2"/>
  <c r="AA218" i="2"/>
  <c r="AA181" i="2"/>
  <c r="AA185" i="2"/>
  <c r="AA209" i="2"/>
  <c r="AA207" i="2"/>
  <c r="AA206" i="2"/>
  <c r="AA202" i="2"/>
  <c r="AA194" i="2"/>
  <c r="AA193" i="2"/>
  <c r="AA188" i="2"/>
  <c r="AA186" i="2"/>
  <c r="AA196" i="2"/>
  <c r="AA187" i="2"/>
  <c r="AA197" i="2"/>
  <c r="AA184" i="2"/>
  <c r="AA183" i="2"/>
  <c r="AA170" i="2"/>
  <c r="AA165" i="2"/>
  <c r="AA163" i="2"/>
  <c r="AA160" i="2"/>
  <c r="AA150" i="2"/>
  <c r="AA155" i="2"/>
  <c r="AA152" i="2"/>
  <c r="AA151" i="2"/>
  <c r="AA158" i="2"/>
  <c r="AA154" i="2"/>
  <c r="AA174" i="2"/>
  <c r="AA168" i="2"/>
  <c r="AA169" i="2"/>
  <c r="AA157" i="2"/>
  <c r="AA175" i="2"/>
  <c r="AA167" i="2"/>
  <c r="AA166" i="2"/>
  <c r="AA164" i="2"/>
  <c r="AA145" i="2"/>
  <c r="AA137" i="2"/>
  <c r="AA125" i="2"/>
  <c r="AA109" i="2"/>
  <c r="AA106" i="2"/>
  <c r="AA121" i="2"/>
  <c r="AA120" i="2"/>
  <c r="AA119" i="2"/>
  <c r="AA117" i="2"/>
  <c r="AA115" i="2"/>
  <c r="AA113" i="2"/>
  <c r="AA108" i="2"/>
  <c r="AA124" i="2"/>
  <c r="AA136" i="2"/>
  <c r="AA126" i="2"/>
  <c r="AA107" i="2"/>
  <c r="AA143" i="2"/>
  <c r="AA133" i="2"/>
  <c r="AA148" i="2"/>
  <c r="AA122" i="2"/>
  <c r="AA147" i="2"/>
  <c r="AA135" i="2"/>
  <c r="AA110" i="2"/>
  <c r="AA131" i="2"/>
  <c r="AA123" i="2"/>
  <c r="AA114" i="2"/>
  <c r="AA146" i="2"/>
  <c r="AA144" i="2"/>
  <c r="AA142" i="2"/>
  <c r="AA141" i="2"/>
  <c r="AA93" i="2"/>
  <c r="AA90" i="2"/>
  <c r="AA80" i="2"/>
  <c r="AA76" i="2"/>
  <c r="AA74" i="2"/>
  <c r="AA72" i="2"/>
  <c r="AA71" i="2"/>
  <c r="AA86" i="2"/>
  <c r="AA105" i="2"/>
  <c r="AA101" i="2"/>
  <c r="AA100" i="2"/>
  <c r="AA98" i="2"/>
  <c r="AA96" i="2"/>
  <c r="AA94" i="2"/>
  <c r="AA92" i="2"/>
  <c r="AA91" i="2"/>
  <c r="AA89" i="2"/>
  <c r="AA87" i="2"/>
  <c r="AA85" i="2"/>
  <c r="AA78" i="2"/>
  <c r="AA77" i="2"/>
  <c r="AA82" i="2"/>
  <c r="AA79" i="2"/>
  <c r="AA75" i="2"/>
  <c r="AA73" i="2"/>
  <c r="AA88" i="2"/>
  <c r="AA81" i="2"/>
  <c r="AA69" i="2"/>
  <c r="AA58" i="2"/>
  <c r="AA44" i="2"/>
  <c r="AA53" i="2"/>
  <c r="AA48" i="2"/>
  <c r="AA41" i="2"/>
  <c r="AA34" i="2"/>
  <c r="AA68" i="2"/>
  <c r="AA63" i="2"/>
  <c r="AA59" i="2"/>
  <c r="AA47" i="2"/>
  <c r="AA43" i="2"/>
  <c r="AA46" i="2"/>
  <c r="AA45" i="2"/>
  <c r="AA27" i="2"/>
  <c r="AA52" i="2"/>
  <c r="AA30" i="2"/>
  <c r="AA51" i="2"/>
  <c r="AA40" i="2"/>
  <c r="AA39" i="2"/>
  <c r="AA33" i="2"/>
  <c r="AA29" i="2"/>
  <c r="AA66" i="2"/>
  <c r="AA65" i="2"/>
  <c r="AA64" i="2"/>
  <c r="AA62" i="2"/>
  <c r="AA61" i="2"/>
  <c r="AA60" i="2"/>
  <c r="AA57" i="2"/>
  <c r="AA56" i="2"/>
  <c r="AA50" i="2"/>
  <c r="AA49" i="2"/>
  <c r="AA9" i="2"/>
  <c r="AA22" i="2"/>
  <c r="AA7" i="2"/>
  <c r="AA11" i="2"/>
  <c r="AA2" i="2"/>
  <c r="AA26" i="2"/>
  <c r="AA17" i="2"/>
  <c r="AA13" i="2"/>
  <c r="AA5" i="2"/>
  <c r="AA3" i="2"/>
  <c r="AA16" i="2"/>
  <c r="AA15" i="2"/>
  <c r="AA6" i="2"/>
  <c r="AA23" i="2"/>
  <c r="AA20" i="2"/>
  <c r="AA10" i="2"/>
  <c r="AA4" i="2"/>
  <c r="AA25" i="2"/>
  <c r="AA8" i="2"/>
</calcChain>
</file>

<file path=xl/sharedStrings.xml><?xml version="1.0" encoding="utf-8"?>
<sst xmlns="http://schemas.openxmlformats.org/spreadsheetml/2006/main" count="4173" uniqueCount="1155">
  <si>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</si>
  <si>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</si>
  <si>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</si>
  <si>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</si>
  <si>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</si>
  <si>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</si>
  <si>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</si>
  <si>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</si>
  <si>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</si>
  <si>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</si>
  <si>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</si>
  <si>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</si>
  <si>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</si>
  <si>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</si>
  <si>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</si>
  <si>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</si>
  <si>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</si>
  <si>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</si>
  <si>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</si>
  <si>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</si>
  <si>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</si>
  <si>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</si>
  <si>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TRANSPORTER NAME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</si>
  <si>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</si>
  <si>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</si>
  <si>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</si>
  <si>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</si>
  <si>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</si>
  <si>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</si>
  <si>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</si>
  <si>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CREDIT</t>
  </si>
  <si>
    <t>20MM</t>
  </si>
  <si>
    <t>QUARRY ROAD REPAIRE PURPOSE</t>
  </si>
  <si>
    <t>AP39WC0926</t>
  </si>
  <si>
    <t>SCOLPIN</t>
  </si>
  <si>
    <t>N260901001</t>
  </si>
  <si>
    <t>AP39UQ0095</t>
  </si>
  <si>
    <t>N260901002</t>
  </si>
  <si>
    <t>N260901003</t>
  </si>
  <si>
    <t>AP39WC0928</t>
  </si>
  <si>
    <t>N260901004</t>
  </si>
  <si>
    <t>AP39WF2057</t>
  </si>
  <si>
    <t>N260901005</t>
  </si>
  <si>
    <t>AP39WF2058</t>
  </si>
  <si>
    <t>N260901006</t>
  </si>
  <si>
    <t>AP39UY4652</t>
  </si>
  <si>
    <t>N260901007</t>
  </si>
  <si>
    <t>AP39WF2052</t>
  </si>
  <si>
    <t>N260901008</t>
  </si>
  <si>
    <t>AP39UW9881</t>
  </si>
  <si>
    <t>N260901009</t>
  </si>
  <si>
    <t>N260901010</t>
  </si>
  <si>
    <t>KUMAR</t>
  </si>
  <si>
    <t>AP31TG1125</t>
  </si>
  <si>
    <t>SANJAY SINGH</t>
  </si>
  <si>
    <t>N260901011</t>
  </si>
  <si>
    <t>AP39UV2345</t>
  </si>
  <si>
    <t>N260901013</t>
  </si>
  <si>
    <t>AP39UD2345</t>
  </si>
  <si>
    <t>N260901014</t>
  </si>
  <si>
    <t>VENKAT PADALA</t>
  </si>
  <si>
    <t>AP39WB4419</t>
  </si>
  <si>
    <t>SATYANARAYAN</t>
  </si>
  <si>
    <t>N260901015</t>
  </si>
  <si>
    <t>N260901016</t>
  </si>
  <si>
    <t>N260901017</t>
  </si>
  <si>
    <t>N260901018</t>
  </si>
  <si>
    <t>SAKPDC003512/26-27</t>
  </si>
  <si>
    <t>GW-NH/001813387</t>
  </si>
  <si>
    <t>M/S JP CONSTRUCTIONS</t>
  </si>
  <si>
    <t>AP39WH1869</t>
  </si>
  <si>
    <t>GSB/WETMIX</t>
  </si>
  <si>
    <t>SAKPDC003513/26-27</t>
  </si>
  <si>
    <t>GW-NH/001813388</t>
  </si>
  <si>
    <t>AP39WH2769</t>
  </si>
  <si>
    <t>N260902001</t>
  </si>
  <si>
    <t>N260902002</t>
  </si>
  <si>
    <t xml:space="preserve"> VENKATA RAO-2489</t>
  </si>
  <si>
    <t>AP31TW1779</t>
  </si>
  <si>
    <t>N260902003</t>
  </si>
  <si>
    <t>SAKPDC003514/26-27</t>
  </si>
  <si>
    <t>GW-NH/001813389</t>
  </si>
  <si>
    <t>AP39WJ5869</t>
  </si>
  <si>
    <t>SAKPDC003515/26-27</t>
  </si>
  <si>
    <t>GW-NH/001813390</t>
  </si>
  <si>
    <t>AP39UJ5678</t>
  </si>
  <si>
    <t>SAKPDC003516/26-27</t>
  </si>
  <si>
    <t>GW-NH/001813391</t>
  </si>
  <si>
    <t>AP39WQ2345</t>
  </si>
  <si>
    <t>GSB(WET MIX)</t>
  </si>
  <si>
    <t>SAKPDC003517/26-27</t>
  </si>
  <si>
    <t>GW-NH/001813392</t>
  </si>
  <si>
    <t>SAKPDC003518/26-27</t>
  </si>
  <si>
    <t>GW-NH/001813393</t>
  </si>
  <si>
    <t>AP39WE2345</t>
  </si>
  <si>
    <t>SAKPDC003520/26-27</t>
  </si>
  <si>
    <t>GW-NH/001813394</t>
  </si>
  <si>
    <t>AP39VF2469</t>
  </si>
  <si>
    <t>SAKPDC003521/26-27</t>
  </si>
  <si>
    <t>GW-NH/001813395</t>
  </si>
  <si>
    <t>AP31TN1166</t>
  </si>
  <si>
    <t>SAKPDC003524/26-27</t>
  </si>
  <si>
    <t>MDLB1257045</t>
  </si>
  <si>
    <t>JS MINING &amp;CONSTRUCTIONS</t>
  </si>
  <si>
    <t>AP39WC2389</t>
  </si>
  <si>
    <t>SAKPDC003522/26-27</t>
  </si>
  <si>
    <t>MDLB1257043</t>
  </si>
  <si>
    <t>AP31TN2579</t>
  </si>
  <si>
    <t>10MM</t>
  </si>
  <si>
    <t>SAKPDC003525/26-27</t>
  </si>
  <si>
    <t>MDLB1257046</t>
  </si>
  <si>
    <t>AP39UZ2489</t>
  </si>
  <si>
    <t>SAKPDC003523/26-27</t>
  </si>
  <si>
    <t>MDLB1257044</t>
  </si>
  <si>
    <t>AP39WD8349</t>
  </si>
  <si>
    <t>SAKPDC003526/26-27</t>
  </si>
  <si>
    <t>GW-NH/001813396</t>
  </si>
  <si>
    <t>SAKPDC003527/26-27</t>
  </si>
  <si>
    <t>GW-NH/001813397</t>
  </si>
  <si>
    <t>SAKPDC003528/26-27</t>
  </si>
  <si>
    <t>GW-NH/001813398</t>
  </si>
  <si>
    <t>SAKPDC003529/26-27</t>
  </si>
  <si>
    <t>GW-NH/001813399</t>
  </si>
  <si>
    <t>AP39UK0366</t>
  </si>
  <si>
    <t>SAKPDC003530/26-27</t>
  </si>
  <si>
    <t>GW-NH/001813400</t>
  </si>
  <si>
    <t>SAKPDC003531/26-27</t>
  </si>
  <si>
    <t>GW-NH/001813401</t>
  </si>
  <si>
    <t>SAKPDC003532/26-27</t>
  </si>
  <si>
    <t>GW-NH/001813402</t>
  </si>
  <si>
    <t>SAKPDC003533/26-27</t>
  </si>
  <si>
    <t>GW-NH/001813403</t>
  </si>
  <si>
    <t>AP39VB8829</t>
  </si>
  <si>
    <t>SAKPDC003534/26-27</t>
  </si>
  <si>
    <t>GW-NH/001813404</t>
  </si>
  <si>
    <t>SAKPDC003535/26-27</t>
  </si>
  <si>
    <t>GW-NH/001813405</t>
  </si>
  <si>
    <t>AP39WD1166</t>
  </si>
  <si>
    <t>SAKPDC003537/26-27</t>
  </si>
  <si>
    <t>MDLB1257048</t>
  </si>
  <si>
    <t>MK BUILDERS &amp; DEVELOPERS</t>
  </si>
  <si>
    <t>AP39UJ5068</t>
  </si>
  <si>
    <t>SAKPDC003536/26-27</t>
  </si>
  <si>
    <t>MDLB1257047</t>
  </si>
  <si>
    <t>AP39UJ5067</t>
  </si>
  <si>
    <t>SAKPDC003538/26-27</t>
  </si>
  <si>
    <t>GW-NH/001813406</t>
  </si>
  <si>
    <t>SAKPDC003539/26-27</t>
  </si>
  <si>
    <t>GW-NH/001813407</t>
  </si>
  <si>
    <t>SAKPDC003540/26-27</t>
  </si>
  <si>
    <t>GW-NH/001813408</t>
  </si>
  <si>
    <t>SAKPDC003541/26-27</t>
  </si>
  <si>
    <t>GW-NH/001813409</t>
  </si>
  <si>
    <t>SAKPDC003542/26-27</t>
  </si>
  <si>
    <t>GW-NH/001813410</t>
  </si>
  <si>
    <t>SAKPDC003543/26-27</t>
  </si>
  <si>
    <t>GW-NH/001813411</t>
  </si>
  <si>
    <t>SAKPDC003544/26-27</t>
  </si>
  <si>
    <t>GW-NH/001813412</t>
  </si>
  <si>
    <t>SAKPDC003546/26-27</t>
  </si>
  <si>
    <t>MDLB1257050</t>
  </si>
  <si>
    <t>SRI CHENDUR &amp; CO</t>
  </si>
  <si>
    <t>AP39UJ2489</t>
  </si>
  <si>
    <t>VSI SAND</t>
  </si>
  <si>
    <t>SAKPDC003547/26-27</t>
  </si>
  <si>
    <t>MDLB1257051</t>
  </si>
  <si>
    <t>AP39UQ2489</t>
  </si>
  <si>
    <t>SAKPDC003545/26-27</t>
  </si>
  <si>
    <t>MDLB1257049</t>
  </si>
  <si>
    <t>KEC INTERNATIONAL</t>
  </si>
  <si>
    <t>AP39UW2589</t>
  </si>
  <si>
    <t>SAKPDC003549/26-27</t>
  </si>
  <si>
    <t>MDLB1257053</t>
  </si>
  <si>
    <t>RIVO SAND</t>
  </si>
  <si>
    <t>SAKPDC003548/26-27</t>
  </si>
  <si>
    <t>MDLB1257052</t>
  </si>
  <si>
    <t>SAKPDC003550/26-27</t>
  </si>
  <si>
    <t>MDLB1257054</t>
  </si>
  <si>
    <t>N260903001</t>
  </si>
  <si>
    <t>KAVYA</t>
  </si>
  <si>
    <t>AP05TB9877</t>
  </si>
  <si>
    <t>SATYANARAYANA</t>
  </si>
  <si>
    <t>SAKPDC003551/26-27</t>
  </si>
  <si>
    <t>MDLB1257055</t>
  </si>
  <si>
    <t>AP39WD2536</t>
  </si>
  <si>
    <t>SAKPDC003553/26-27</t>
  </si>
  <si>
    <t>MDLB1257057</t>
  </si>
  <si>
    <t>SHREE RIDDHI SIDDHI BUILDWELL LTD</t>
  </si>
  <si>
    <t>AP31TN4302</t>
  </si>
  <si>
    <t>SAKPDC003552/26-27</t>
  </si>
  <si>
    <t>MDLB1257056</t>
  </si>
  <si>
    <t>SAKPDC003554/26-27</t>
  </si>
  <si>
    <t>MDLB1257058</t>
  </si>
  <si>
    <t>AP39WB2536</t>
  </si>
  <si>
    <t>SAKPDC003555/26-27</t>
  </si>
  <si>
    <t>MDLB1257059</t>
  </si>
  <si>
    <t>SAKPDC003557/26-27</t>
  </si>
  <si>
    <t>MDLB1257061</t>
  </si>
  <si>
    <t>SAKPDC003556/26-27</t>
  </si>
  <si>
    <t>MDLB1257060</t>
  </si>
  <si>
    <t>AP39WC7449</t>
  </si>
  <si>
    <t>SAKPDC003558/26-27</t>
  </si>
  <si>
    <t>MDLB1257062</t>
  </si>
  <si>
    <t>SAKPDC003559/26-27</t>
  </si>
  <si>
    <t>MDLB1257063</t>
  </si>
  <si>
    <t>AP39WC9149</t>
  </si>
  <si>
    <t>SAKPDC003560/26-27</t>
  </si>
  <si>
    <t>MDLB1257064</t>
  </si>
  <si>
    <t>SAKPDC003561/26-27</t>
  </si>
  <si>
    <t>MDLB1257065</t>
  </si>
  <si>
    <t>SAKPDC003562/26-27</t>
  </si>
  <si>
    <t>MDLB1257066</t>
  </si>
  <si>
    <t>SAKPDC003563/26-27</t>
  </si>
  <si>
    <t>MDLB1257067</t>
  </si>
  <si>
    <t>SAKPDC003564/26-27</t>
  </si>
  <si>
    <t>MDLB1257068</t>
  </si>
  <si>
    <t>N260903002</t>
  </si>
  <si>
    <t>MAHESH</t>
  </si>
  <si>
    <t>AP31Y8201</t>
  </si>
  <si>
    <t>ARUN SIR (GM)</t>
  </si>
  <si>
    <t>SAKPDC003566/26-27</t>
  </si>
  <si>
    <t>MDLB1257069</t>
  </si>
  <si>
    <t>SAKPDC003565/26-27</t>
  </si>
  <si>
    <t>GW-NH/001813413</t>
  </si>
  <si>
    <t>SAKPDC003567/26-27</t>
  </si>
  <si>
    <t>MDLB1257070</t>
  </si>
  <si>
    <t>SAKPDC003568/26-27</t>
  </si>
  <si>
    <t>GW-NH/001813414</t>
  </si>
  <si>
    <t>AP39WR1699</t>
  </si>
  <si>
    <t>SAKPDC003569/26-27</t>
  </si>
  <si>
    <t>GW-NH/001813415</t>
  </si>
  <si>
    <t>N260903003</t>
  </si>
  <si>
    <t>QUARRY ROAD WORK PURPODE</t>
  </si>
  <si>
    <t>WASTE DUST</t>
  </si>
  <si>
    <t>N260903004</t>
  </si>
  <si>
    <t>AP39WC0927</t>
  </si>
  <si>
    <t>N260903005</t>
  </si>
  <si>
    <t>SAKPDC003570/26-27</t>
  </si>
  <si>
    <t>GW-NH/001813416</t>
  </si>
  <si>
    <t>AP39WD5999</t>
  </si>
  <si>
    <t>N260903006</t>
  </si>
  <si>
    <t>MDLB1257071</t>
  </si>
  <si>
    <t>AP39UZ2345</t>
  </si>
  <si>
    <t>SAKPDC003571/26-27</t>
  </si>
  <si>
    <t>GW-NH/001813417</t>
  </si>
  <si>
    <t>SAKPDC003572/26-27</t>
  </si>
  <si>
    <t>GW-NH/001813418</t>
  </si>
  <si>
    <t>SAKPDC003573/26-27</t>
  </si>
  <si>
    <t>MDLB1257072</t>
  </si>
  <si>
    <t>SAKPDC003574/26-27</t>
  </si>
  <si>
    <t>GW-NH/001813419</t>
  </si>
  <si>
    <t>PHANDINDRA GWK</t>
  </si>
  <si>
    <t>AP21TB5459</t>
  </si>
  <si>
    <t>SAKPDC003575/26-27</t>
  </si>
  <si>
    <t>MDLB1257073</t>
  </si>
  <si>
    <t>SAKPDC003576/26-27</t>
  </si>
  <si>
    <t>GW-NH/001813420</t>
  </si>
  <si>
    <t>AP39VD5226</t>
  </si>
  <si>
    <t>SAKPDC003579/26-27</t>
  </si>
  <si>
    <t>MDLB1257076</t>
  </si>
  <si>
    <t>SAKPDC003577/26-27</t>
  </si>
  <si>
    <t>MDLB1257074</t>
  </si>
  <si>
    <t>SAKPDC003581/26-27</t>
  </si>
  <si>
    <t>MDLB1257078</t>
  </si>
  <si>
    <t>SAKPDC003578/26-27</t>
  </si>
  <si>
    <t>MDLB1257075</t>
  </si>
  <si>
    <t>SAKPDC003582/26-27</t>
  </si>
  <si>
    <t>MDLB1257079</t>
  </si>
  <si>
    <t>SAKPDC003580/26-27</t>
  </si>
  <si>
    <t>MDLB1257077</t>
  </si>
  <si>
    <t>SAKPDC003584/26-27</t>
  </si>
  <si>
    <t>MDLB1257081</t>
  </si>
  <si>
    <t>SAKPDC003585/26-27</t>
  </si>
  <si>
    <t>GW-NH/001813421</t>
  </si>
  <si>
    <t>AP39WE5559</t>
  </si>
  <si>
    <t>SAKPDC003586/26-27</t>
  </si>
  <si>
    <t>GW-NH/001813422</t>
  </si>
  <si>
    <t>AP39W7119</t>
  </si>
  <si>
    <t>SAKPDC003583/26-27</t>
  </si>
  <si>
    <t>MDLB1257080</t>
  </si>
  <si>
    <t>LAXMI ENTERPRISES(P)</t>
  </si>
  <si>
    <t>N260904001</t>
  </si>
  <si>
    <t>MDLB1257082</t>
  </si>
  <si>
    <t>SAKPDC003588/26-27</t>
  </si>
  <si>
    <t>MDLB1257083</t>
  </si>
  <si>
    <t>SAKPDC003589/26-27</t>
  </si>
  <si>
    <t>GW-NH/001813423</t>
  </si>
  <si>
    <t>AP39WD3389</t>
  </si>
  <si>
    <t>SAKPDC003590/26-27</t>
  </si>
  <si>
    <t>GW-NH/001813476</t>
  </si>
  <si>
    <t>AP39WW1949</t>
  </si>
  <si>
    <t>SAKPDC003591/26-27</t>
  </si>
  <si>
    <t>GW-NH/001813424</t>
  </si>
  <si>
    <t>SAKPDC003592/26-27</t>
  </si>
  <si>
    <t>GW-NH/001813425</t>
  </si>
  <si>
    <t>N260904002</t>
  </si>
  <si>
    <t>CHINNA</t>
  </si>
  <si>
    <t>CASH</t>
  </si>
  <si>
    <t>AP39UL1449</t>
  </si>
  <si>
    <t>SAKPDC003593/26-27</t>
  </si>
  <si>
    <t>MDLB1257084</t>
  </si>
  <si>
    <t>SAPTHAGIRI MINERALS PRODUCTS</t>
  </si>
  <si>
    <t>AP39WH3659</t>
  </si>
  <si>
    <t>SAKPDC003595/26-27</t>
  </si>
  <si>
    <t>GW-NH/001813477</t>
  </si>
  <si>
    <t>AP39UG0559</t>
  </si>
  <si>
    <t>SAKPDC003597/26-27</t>
  </si>
  <si>
    <t>MDLB1257086</t>
  </si>
  <si>
    <t>L&amp;T P-1</t>
  </si>
  <si>
    <t>SAKPDC003598/26-27</t>
  </si>
  <si>
    <t>MDLB1257087</t>
  </si>
  <si>
    <t>SAKPDC003596/26-27</t>
  </si>
  <si>
    <t>MDLB1257085</t>
  </si>
  <si>
    <t>SAKPDC003599/26-27</t>
  </si>
  <si>
    <t>MDLB1257088</t>
  </si>
  <si>
    <t>SAKPDC003601/26-27</t>
  </si>
  <si>
    <t>MDLB1257090</t>
  </si>
  <si>
    <t>SAKPDC003600/26-27</t>
  </si>
  <si>
    <t>MDLB1257089</t>
  </si>
  <si>
    <t>AP39UZ3335</t>
  </si>
  <si>
    <t>SAKPDC003602/26-27</t>
  </si>
  <si>
    <t>MDLB1257091</t>
  </si>
  <si>
    <t>SAKPDC003604/26-27</t>
  </si>
  <si>
    <t>MDLB1257093</t>
  </si>
  <si>
    <t>AP39UH2489</t>
  </si>
  <si>
    <t>SAKPDC003603/26-27</t>
  </si>
  <si>
    <t>MDLB1257092</t>
  </si>
  <si>
    <t>SAKPDC003605/26-27</t>
  </si>
  <si>
    <t>GW-NH/001813478</t>
  </si>
  <si>
    <t>AP39WD8259</t>
  </si>
  <si>
    <t>SAKPDC003606/26-27</t>
  </si>
  <si>
    <t>GW-NH/001813479</t>
  </si>
  <si>
    <t>N260904003</t>
  </si>
  <si>
    <t>QUARRY ROAD WORK PURPOSE</t>
  </si>
  <si>
    <t>N260904004</t>
  </si>
  <si>
    <t>SAKPDC003607/26-27</t>
  </si>
  <si>
    <t>MDLB1257094</t>
  </si>
  <si>
    <t>AP39VC2799</t>
  </si>
  <si>
    <t>SAKPDC003608/26-27</t>
  </si>
  <si>
    <t>MDLB1257095</t>
  </si>
  <si>
    <t>SAKPDC003609/26-27</t>
  </si>
  <si>
    <t>MDLB1257096</t>
  </si>
  <si>
    <t>SAKPDC003610/26-27</t>
  </si>
  <si>
    <t>MDLB1257097</t>
  </si>
  <si>
    <t>VISWAMATHA ENTERPRISES</t>
  </si>
  <si>
    <t>AP39TU4469</t>
  </si>
  <si>
    <t>SAKPDC003611/26-27</t>
  </si>
  <si>
    <t>MDLB1257098</t>
  </si>
  <si>
    <t>SAKPDC003613/26-27</t>
  </si>
  <si>
    <t>MDLB1257100</t>
  </si>
  <si>
    <t>SAKPDC003612/26-27</t>
  </si>
  <si>
    <t>MDLB1257099</t>
  </si>
  <si>
    <t>SAKPDC003615/26-27</t>
  </si>
  <si>
    <t>MDLB1257102</t>
  </si>
  <si>
    <t>AP39UY3435</t>
  </si>
  <si>
    <t>SAKPDC003617/26-27</t>
  </si>
  <si>
    <t>MDLB1257104</t>
  </si>
  <si>
    <t>SAKPDC003616/26-27</t>
  </si>
  <si>
    <t>MDLB1257103</t>
  </si>
  <si>
    <t>SAKPDC003620/26-27</t>
  </si>
  <si>
    <t>MDLB1257107</t>
  </si>
  <si>
    <t>SAKPDC003618/26-27</t>
  </si>
  <si>
    <t>MDLB1257105</t>
  </si>
  <si>
    <t>SAKPDC003614/26-27</t>
  </si>
  <si>
    <t>MDLB1257101</t>
  </si>
  <si>
    <t>SAKPDC003619/26-27</t>
  </si>
  <si>
    <t>MDLB1257106</t>
  </si>
  <si>
    <t>AP39WB 2536</t>
  </si>
  <si>
    <t>SAKPDC003622/26-27</t>
  </si>
  <si>
    <t>MDLB1257109</t>
  </si>
  <si>
    <t>SAKPDC003621/26-27</t>
  </si>
  <si>
    <t>MDLB1257108</t>
  </si>
  <si>
    <t>SAKPDC003623/26-27</t>
  </si>
  <si>
    <t>MDLB1257110</t>
  </si>
  <si>
    <t>LAXMI ENTERPRISES(S)</t>
  </si>
  <si>
    <t>SAKPDC003624/26-27</t>
  </si>
  <si>
    <t>MDLB1257111</t>
  </si>
  <si>
    <t>N260905001</t>
  </si>
  <si>
    <t>K RAGHU</t>
  </si>
  <si>
    <t>AP31TW1133</t>
  </si>
  <si>
    <t>SAKPDC003625/26-27</t>
  </si>
  <si>
    <t>MDLB1257112</t>
  </si>
  <si>
    <t>N260905002</t>
  </si>
  <si>
    <t>AP39UX7755</t>
  </si>
  <si>
    <t>SAKPDC003626/26-27</t>
  </si>
  <si>
    <t>MDLB1257113</t>
  </si>
  <si>
    <t>AP39W3579</t>
  </si>
  <si>
    <t>SAKPDC003627/26-27</t>
  </si>
  <si>
    <t>MDLB1257114</t>
  </si>
  <si>
    <t>AP39W0505</t>
  </si>
  <si>
    <t>N260905003</t>
  </si>
  <si>
    <t>SRINU</t>
  </si>
  <si>
    <t>AP07TN0299</t>
  </si>
  <si>
    <t>SAKPDC003628/26-27</t>
  </si>
  <si>
    <t>MDLB1257115</t>
  </si>
  <si>
    <t>AP39UF6577</t>
  </si>
  <si>
    <t>SAKPDC003629/26-27</t>
  </si>
  <si>
    <t>MDLB1257116</t>
  </si>
  <si>
    <t>SAKPDC003630/26-27</t>
  </si>
  <si>
    <t>GW-NH/001813483</t>
  </si>
  <si>
    <t>N260905004</t>
  </si>
  <si>
    <t>CHINNA RAO</t>
  </si>
  <si>
    <t>AP39UB8081</t>
  </si>
  <si>
    <t>N260905005</t>
  </si>
  <si>
    <t>ROAD PURPOSE (FOC)</t>
  </si>
  <si>
    <t>SCALPING</t>
  </si>
  <si>
    <t>N260905006</t>
  </si>
  <si>
    <t>VENKATA PADALA</t>
  </si>
  <si>
    <t>N260905007</t>
  </si>
  <si>
    <t>SAKPDC003631/26-27</t>
  </si>
  <si>
    <t>MDLB1257117</t>
  </si>
  <si>
    <t>N260905008</t>
  </si>
  <si>
    <t>N260905009</t>
  </si>
  <si>
    <t>SAKPDC003632/26-27</t>
  </si>
  <si>
    <t>MDLB1257118</t>
  </si>
  <si>
    <t>SAKPDC003633/26-27</t>
  </si>
  <si>
    <t>MDLB1257119</t>
  </si>
  <si>
    <t>N260905010</t>
  </si>
  <si>
    <t>SAKPDC003634/26-27</t>
  </si>
  <si>
    <t>MDLB1257120</t>
  </si>
  <si>
    <t>SAKPDC003635/26-27</t>
  </si>
  <si>
    <t>MDLB1257121</t>
  </si>
  <si>
    <t>SAKPDC003636/26-27</t>
  </si>
  <si>
    <t>MDLB1257122</t>
  </si>
  <si>
    <t>SAKPDC003637/26-27</t>
  </si>
  <si>
    <t>MDLB1257123</t>
  </si>
  <si>
    <t>SAKPDC003638/26-27</t>
  </si>
  <si>
    <t>MDLB1257124</t>
  </si>
  <si>
    <t>SAKPDC003641/26-27</t>
  </si>
  <si>
    <t>MDLB1257127</t>
  </si>
  <si>
    <t>SAKPDC003639/26-27</t>
  </si>
  <si>
    <t>MDLB1257125</t>
  </si>
  <si>
    <t>SAKPDC003642/26-27</t>
  </si>
  <si>
    <t>MDLB1257128</t>
  </si>
  <si>
    <t>SAKPDC003640/26-27</t>
  </si>
  <si>
    <t>MDLB1257126</t>
  </si>
  <si>
    <t>SAKPDC003644/26-27</t>
  </si>
  <si>
    <t>GW-NH/001813485</t>
  </si>
  <si>
    <t>SAKPDC003643/26-27</t>
  </si>
  <si>
    <t>GW-NH/001813484</t>
  </si>
  <si>
    <t>SAKPDC003645/26-27</t>
  </si>
  <si>
    <t>GW-NH/001813486</t>
  </si>
  <si>
    <t>SAKPDC003646/26-27</t>
  </si>
  <si>
    <t>GW-NH/001812487</t>
  </si>
  <si>
    <t>SAKPDC003647/26-27</t>
  </si>
  <si>
    <t>GW-NH/001812488</t>
  </si>
  <si>
    <t>SAKPDC003648/26-27</t>
  </si>
  <si>
    <t>GW-NH/001812489</t>
  </si>
  <si>
    <t>AP39WD0089</t>
  </si>
  <si>
    <t>SAKPDC003649/26-27</t>
  </si>
  <si>
    <t>GW-NH/001812490</t>
  </si>
  <si>
    <t>N260906001</t>
  </si>
  <si>
    <t>MURLI</t>
  </si>
  <si>
    <t>AP16TE34798</t>
  </si>
  <si>
    <t>SAKPDC003650/26-27</t>
  </si>
  <si>
    <t>GW-NH/001812491</t>
  </si>
  <si>
    <t>SAKPDC003651/26-27</t>
  </si>
  <si>
    <t>GW-NH/001812492</t>
  </si>
  <si>
    <t>SAKPDC003654/26-27</t>
  </si>
  <si>
    <t>MDLB1257130</t>
  </si>
  <si>
    <t>SAKPDC003652/26-27</t>
  </si>
  <si>
    <t>MDLB1257129</t>
  </si>
  <si>
    <t>AP39VE2489</t>
  </si>
  <si>
    <t>SAKPDC003653/26-27</t>
  </si>
  <si>
    <t>GW-NH/001812493</t>
  </si>
  <si>
    <t>AP39WD3488</t>
  </si>
  <si>
    <t>N260906002</t>
  </si>
  <si>
    <t>N260906003</t>
  </si>
  <si>
    <t>N260906004</t>
  </si>
  <si>
    <t>N260906005</t>
  </si>
  <si>
    <t>N260906006</t>
  </si>
  <si>
    <t>SAKPDC003655/26-27</t>
  </si>
  <si>
    <t>MDLB1257131</t>
  </si>
  <si>
    <t>SAKPDC003656/26-27</t>
  </si>
  <si>
    <t>GW-NH/001812494</t>
  </si>
  <si>
    <t>N260907001</t>
  </si>
  <si>
    <t>APPALA RAJU</t>
  </si>
  <si>
    <t>AP39VD3889</t>
  </si>
  <si>
    <t>SAKPDC003657/26-27</t>
  </si>
  <si>
    <t>MDLB1257132</t>
  </si>
  <si>
    <t>AP39UQ9689</t>
  </si>
  <si>
    <t>SAKPDC003658/26-27</t>
  </si>
  <si>
    <t>MDLB1257133</t>
  </si>
  <si>
    <t>SAKPDC003659/26-27</t>
  </si>
  <si>
    <t>MDLB1257134</t>
  </si>
  <si>
    <t>SAKPDC003661/26-27</t>
  </si>
  <si>
    <t>MDLB1257136</t>
  </si>
  <si>
    <t>AP39WD4199</t>
  </si>
  <si>
    <t>SAKPDC003662/26-27</t>
  </si>
  <si>
    <t>MDLB1257137</t>
  </si>
  <si>
    <t>SAKPDC003663/26-27</t>
  </si>
  <si>
    <t>MDLB1257138</t>
  </si>
  <si>
    <t>SAKPDC003665/26-27</t>
  </si>
  <si>
    <t>MDLB1257140</t>
  </si>
  <si>
    <t>SAKPDC003668/26-27</t>
  </si>
  <si>
    <t>MDLB1257143</t>
  </si>
  <si>
    <t>SAKPDC003666/26-27</t>
  </si>
  <si>
    <t>MDLB1257141</t>
  </si>
  <si>
    <t>SAKPDC003664/26-27</t>
  </si>
  <si>
    <t>MDLB1257139</t>
  </si>
  <si>
    <t>SAKPDC003660/26-27</t>
  </si>
  <si>
    <t>MDLB1257135</t>
  </si>
  <si>
    <t>SAKPDC003671/26-27</t>
  </si>
  <si>
    <t>MDLB1257146</t>
  </si>
  <si>
    <t>SAKPDC003670/26-27</t>
  </si>
  <si>
    <t>MDLB1257145</t>
  </si>
  <si>
    <t>SAKPDC003667/26-27</t>
  </si>
  <si>
    <t>MDLB1257142</t>
  </si>
  <si>
    <t>SAKPDC003672/26-27</t>
  </si>
  <si>
    <t>MDLB1257147</t>
  </si>
  <si>
    <t>SAKPDC003669/26-27</t>
  </si>
  <si>
    <t>MDLB1257144</t>
  </si>
  <si>
    <t>SAKPDC003673/26-27</t>
  </si>
  <si>
    <t>MDLB1257148</t>
  </si>
  <si>
    <t>SAKPDC003674/26-27</t>
  </si>
  <si>
    <t>MDLB1257149</t>
  </si>
  <si>
    <t>AP39TV2536</t>
  </si>
  <si>
    <t>SAKPDC003675/26-27</t>
  </si>
  <si>
    <t>MDLB1257150</t>
  </si>
  <si>
    <t>SAKPDC003676/26-27</t>
  </si>
  <si>
    <t>MDLB1257151</t>
  </si>
  <si>
    <t>SAKPDC003677/26-27</t>
  </si>
  <si>
    <t>GW-NH/001813495</t>
  </si>
  <si>
    <t>SAKPDC003678/26-27</t>
  </si>
  <si>
    <t>GW-NH/001813496</t>
  </si>
  <si>
    <t>SAKPDC003679/26-27</t>
  </si>
  <si>
    <t>GW-NH/001813497</t>
  </si>
  <si>
    <t>SAKPDC003680/26-27</t>
  </si>
  <si>
    <t>GW-NH/001813498</t>
  </si>
  <si>
    <t>SAKPDC003681/26-27</t>
  </si>
  <si>
    <t>GW-NH/001813499</t>
  </si>
  <si>
    <t>N260908001</t>
  </si>
  <si>
    <t>NOOKARAJU</t>
  </si>
  <si>
    <t>AP31TC9612</t>
  </si>
  <si>
    <t>N260908002</t>
  </si>
  <si>
    <t>APPA RAO</t>
  </si>
  <si>
    <t>AP39Y2548</t>
  </si>
  <si>
    <t>N260908003</t>
  </si>
  <si>
    <t>CHRAN</t>
  </si>
  <si>
    <t>AP16TE3479</t>
  </si>
  <si>
    <t>N260908004</t>
  </si>
  <si>
    <t>N260908005</t>
  </si>
  <si>
    <t>K M NAIDU</t>
  </si>
  <si>
    <t>AP31X3247</t>
  </si>
  <si>
    <t>SAKPDC003682/26-27</t>
  </si>
  <si>
    <t>MDLB1257152</t>
  </si>
  <si>
    <t>OUT SITE(VLS)</t>
  </si>
  <si>
    <t>N260909001</t>
  </si>
  <si>
    <t>N260910001</t>
  </si>
  <si>
    <t>AP35Y2548</t>
  </si>
  <si>
    <t>N260910002</t>
  </si>
  <si>
    <t>ALLU SHAKTI BABU</t>
  </si>
  <si>
    <t>AP39UU5665</t>
  </si>
  <si>
    <t>N260911001</t>
  </si>
  <si>
    <t>APPALA NAIDU</t>
  </si>
  <si>
    <t>SATYA NARAYAN</t>
  </si>
  <si>
    <t>SAKPDC003684/26-27</t>
  </si>
  <si>
    <t>MDLB1257154</t>
  </si>
  <si>
    <t>SAKPDC003683/26-27</t>
  </si>
  <si>
    <t>MDLB1257153</t>
  </si>
  <si>
    <t>SAKPDC003686/26-27</t>
  </si>
  <si>
    <t>MDLB1257156</t>
  </si>
  <si>
    <t>SAKPDC003688/26-27</t>
  </si>
  <si>
    <t>MDLB1257158</t>
  </si>
  <si>
    <t>SAKPDC003687/26-27</t>
  </si>
  <si>
    <t>MDLB1257157</t>
  </si>
  <si>
    <t>SAKPDC003685/26-27</t>
  </si>
  <si>
    <t>MDLB1257155</t>
  </si>
  <si>
    <t>SAKPDC003689/26-27</t>
  </si>
  <si>
    <t>MDLB1257159</t>
  </si>
  <si>
    <t>SAKPDC003690/26-27</t>
  </si>
  <si>
    <t>MDLB1257160</t>
  </si>
  <si>
    <t>SAKPDC003691/26-27</t>
  </si>
  <si>
    <t>MDLB1257161</t>
  </si>
  <si>
    <t>SAKPDC003700/26-27</t>
  </si>
  <si>
    <t>MDLB1257167</t>
  </si>
  <si>
    <t>SAKPDC003693/26-27</t>
  </si>
  <si>
    <t>MDLB1257163</t>
  </si>
  <si>
    <t>SAKPDC003701/26-27</t>
  </si>
  <si>
    <t>MDLB1257168</t>
  </si>
  <si>
    <t>AP39WB4829</t>
  </si>
  <si>
    <t>SAKPDC003692/26-27</t>
  </si>
  <si>
    <t>MDLB1257162</t>
  </si>
  <si>
    <t>SAKPDC003694/26-27</t>
  </si>
  <si>
    <t>GW-NH/001813500</t>
  </si>
  <si>
    <t>SAKPDC003696/26-27</t>
  </si>
  <si>
    <t>MDLB1257164</t>
  </si>
  <si>
    <t>SAKPDC003695/26-27</t>
  </si>
  <si>
    <t>GW-NH/001813501</t>
  </si>
  <si>
    <t>SAKPDC003697/26-27</t>
  </si>
  <si>
    <t>MDLB1257165</t>
  </si>
  <si>
    <t>SAKPDC003702/26-27</t>
  </si>
  <si>
    <t>MDLB1257169</t>
  </si>
  <si>
    <t>SAKPDC003699/26-27</t>
  </si>
  <si>
    <t>MDLB1257166</t>
  </si>
  <si>
    <t>SAKPDC003698/26-27</t>
  </si>
  <si>
    <t>GW-NH/001813502</t>
  </si>
  <si>
    <t>AP39WQ5855</t>
  </si>
  <si>
    <t>SAKPDC003703/26-27</t>
  </si>
  <si>
    <t>GW-NH/001813503</t>
  </si>
  <si>
    <t>SAKPDC003704/26-27</t>
  </si>
  <si>
    <t>GW-NH/001813504</t>
  </si>
  <si>
    <t>SAKPDC003705/26-27</t>
  </si>
  <si>
    <t>GW-NH/001813505</t>
  </si>
  <si>
    <t>AP39WE1535</t>
  </si>
  <si>
    <t>SAKPDC003706/26-27</t>
  </si>
  <si>
    <t>MDLB1257170</t>
  </si>
  <si>
    <t>SAKPDC003709/26-27</t>
  </si>
  <si>
    <t>MDLB1257172</t>
  </si>
  <si>
    <t>SAKPDC003707/26-27</t>
  </si>
  <si>
    <t>MDLB1257171</t>
  </si>
  <si>
    <t>SAKPDC003710/26-27</t>
  </si>
  <si>
    <t>MDLB1257173</t>
  </si>
  <si>
    <t>SAKPDC003711/26-28</t>
  </si>
  <si>
    <t>MDLB1257174</t>
  </si>
  <si>
    <t>CITY PROMOTER &amp; BUILDWELL PVT LTD</t>
  </si>
  <si>
    <t>SAKPDC003712/26-28</t>
  </si>
  <si>
    <t>MDLB1257175</t>
  </si>
  <si>
    <t>SAKPDC003713/26-28</t>
  </si>
  <si>
    <t>MDLB1257176</t>
  </si>
  <si>
    <t>SAKPDC003714/26-28</t>
  </si>
  <si>
    <t>GW-NH/001813506</t>
  </si>
  <si>
    <t>SAKPDC003717/26-28</t>
  </si>
  <si>
    <t>MDLB1257179</t>
  </si>
  <si>
    <t>SAKPDC003716/26-28</t>
  </si>
  <si>
    <t>MDLB1257178</t>
  </si>
  <si>
    <t>SAKPDC003715/26-28</t>
  </si>
  <si>
    <t>MDLB1257177</t>
  </si>
  <si>
    <t>SAKPDC003718/26-28</t>
  </si>
  <si>
    <t>MDLB1257180</t>
  </si>
  <si>
    <t>SAKPDC003719/26-28</t>
  </si>
  <si>
    <t>MDLB1257181</t>
  </si>
  <si>
    <t>SAKPDC003720/26-28</t>
  </si>
  <si>
    <t>MDLB1257182</t>
  </si>
  <si>
    <t>SAKPDC003721/26-28</t>
  </si>
  <si>
    <t>MDLB1257183</t>
  </si>
  <si>
    <t>SAKPDC003722/26-28</t>
  </si>
  <si>
    <t>MDLB1257184</t>
  </si>
  <si>
    <t>SAKPDC003723/26-28</t>
  </si>
  <si>
    <t>GW-NH/001813507</t>
  </si>
  <si>
    <t>SAKPDC003724/26-28</t>
  </si>
  <si>
    <t>GW-NH/001813508</t>
  </si>
  <si>
    <t>SAKPDC003725/26-28</t>
  </si>
  <si>
    <t>MDLB1257185</t>
  </si>
  <si>
    <t>Northstar Homes and Spaces</t>
  </si>
  <si>
    <t>SAKPDC003726/26-27</t>
  </si>
  <si>
    <t>GW-NH/001813509</t>
  </si>
  <si>
    <t>SAKPDC003727/26-27</t>
  </si>
  <si>
    <t>GW-NH/001813510</t>
  </si>
  <si>
    <t>SAKPDC003728/26-27</t>
  </si>
  <si>
    <t>MDLB1257186</t>
  </si>
  <si>
    <t>SAKPDC003729/26-27</t>
  </si>
  <si>
    <t>MDLB1257187</t>
  </si>
  <si>
    <t>SAKPDC003730/26-27</t>
  </si>
  <si>
    <t>MDLB1257188</t>
  </si>
  <si>
    <t>SAKPDC003731/26-27</t>
  </si>
  <si>
    <t>MDLB1257189</t>
  </si>
  <si>
    <t>SAKPDC003732/26-27</t>
  </si>
  <si>
    <t>GW-NH/001813511</t>
  </si>
  <si>
    <t>SAKPDC003733/26-27</t>
  </si>
  <si>
    <t>GW-NH/001813512</t>
  </si>
  <si>
    <t>SAKPDC003734/26-27</t>
  </si>
  <si>
    <t>GW-NH/001813513</t>
  </si>
  <si>
    <t>SAKPDC003735/26-27</t>
  </si>
  <si>
    <t>GW-NH/001813514</t>
  </si>
  <si>
    <t>SAKPDC003736/26-27</t>
  </si>
  <si>
    <t>GW-NH/001813515</t>
  </si>
  <si>
    <t>SAKPDC003737/26-27</t>
  </si>
  <si>
    <t>GW-NH/001813516</t>
  </si>
  <si>
    <t>SAKPDC003738/26-27</t>
  </si>
  <si>
    <t>GW-NH/001813517</t>
  </si>
  <si>
    <t>SAKPDC003739/26-27</t>
  </si>
  <si>
    <t>GW-NH/001813518</t>
  </si>
  <si>
    <t>SAKPDC003740/26-27</t>
  </si>
  <si>
    <t>GW-NH/001813519</t>
  </si>
  <si>
    <t>N260912001</t>
  </si>
  <si>
    <t>VARDHAN TANSPORT</t>
  </si>
  <si>
    <t>AP31BL2436</t>
  </si>
  <si>
    <t>SAKPDC003741/26-27</t>
  </si>
  <si>
    <t>GW-NH/001813520</t>
  </si>
  <si>
    <t>SAKPDC003742/26-27</t>
  </si>
  <si>
    <t>GW-NH/001813521</t>
  </si>
  <si>
    <t>SAKPDC003744/26-27</t>
  </si>
  <si>
    <t>GW-NH/001813523</t>
  </si>
  <si>
    <t>SAKPDC003743/26-27</t>
  </si>
  <si>
    <t>GW-NH/001813522</t>
  </si>
  <si>
    <t>SAKPDC003745/26-27</t>
  </si>
  <si>
    <t>GW-NH/001813524</t>
  </si>
  <si>
    <t>SAKPDC003746/26-27</t>
  </si>
  <si>
    <t>GW-NH/001813525</t>
  </si>
  <si>
    <t>SAKPDC003747/26-27</t>
  </si>
  <si>
    <t>GW-NH/001813526</t>
  </si>
  <si>
    <t>SAKPDC003748/26-27</t>
  </si>
  <si>
    <t>GW-NH/001813527</t>
  </si>
  <si>
    <t>SAKPDC003749/26-27</t>
  </si>
  <si>
    <t>GW-NH/001813528</t>
  </si>
  <si>
    <t>SAKPDC003750/26-27</t>
  </si>
  <si>
    <t>GW-NH/001813529</t>
  </si>
  <si>
    <t>SAKPDC003751/26-27</t>
  </si>
  <si>
    <t>GW-NH/001813530</t>
  </si>
  <si>
    <t>SAKPDC003752/26-27</t>
  </si>
  <si>
    <t>GW-NH/001813531</t>
  </si>
  <si>
    <t>SAKPDC003753/26-27</t>
  </si>
  <si>
    <t>GW-NH/001813532</t>
  </si>
  <si>
    <t>SAKPDC003754/26-27</t>
  </si>
  <si>
    <t>GW-NH/001813533</t>
  </si>
  <si>
    <t>N260913001</t>
  </si>
  <si>
    <t>ALLU SATHI BABU</t>
  </si>
  <si>
    <t>SAKPDC003755/26-27</t>
  </si>
  <si>
    <t>GW-NH/001813534</t>
  </si>
  <si>
    <t>N260915001</t>
  </si>
  <si>
    <t>N260915002</t>
  </si>
  <si>
    <t>N260915003</t>
  </si>
  <si>
    <t>N260915004</t>
  </si>
  <si>
    <t>N260915005</t>
  </si>
  <si>
    <t>N260915006</t>
  </si>
  <si>
    <t>N260915007</t>
  </si>
  <si>
    <t>N260915008</t>
  </si>
  <si>
    <t>N260915009</t>
  </si>
  <si>
    <t>N260915010</t>
  </si>
  <si>
    <t>AP39UQ0097</t>
  </si>
  <si>
    <t>N260915011</t>
  </si>
  <si>
    <t>AP39WS4488</t>
  </si>
  <si>
    <t>N260915012</t>
  </si>
  <si>
    <t>N260915013</t>
  </si>
  <si>
    <t>SAKPDC003756/26-27</t>
  </si>
  <si>
    <t>MDLB1257190</t>
  </si>
  <si>
    <t>SRI PYDIMAMABA ENTERPISES</t>
  </si>
  <si>
    <t>N260915014</t>
  </si>
  <si>
    <t>N260915015</t>
  </si>
  <si>
    <t>N260915016</t>
  </si>
  <si>
    <t xml:space="preserve">  </t>
  </si>
  <si>
    <t>N260915017</t>
  </si>
  <si>
    <t>N260915018</t>
  </si>
  <si>
    <t>SAKPDC003757/26-27</t>
  </si>
  <si>
    <t>GW-NH/001813535</t>
  </si>
  <si>
    <t>N260916001</t>
  </si>
  <si>
    <t>N260916002</t>
  </si>
  <si>
    <t>N260916003</t>
  </si>
  <si>
    <t>N260916004</t>
  </si>
  <si>
    <t>SAKPDC003758/26-27</t>
  </si>
  <si>
    <t>GW-NH/001813536</t>
  </si>
  <si>
    <t>SAKPDC003759/26-27</t>
  </si>
  <si>
    <t>GW-NH/001813537</t>
  </si>
  <si>
    <t>N260916005</t>
  </si>
  <si>
    <t>AP31CR3126</t>
  </si>
  <si>
    <t>SAKPDC003760/26-27</t>
  </si>
  <si>
    <t>GW-NH/001813538</t>
  </si>
  <si>
    <t>GSB(WETMIX)</t>
  </si>
  <si>
    <t>SAKPDC003761/26-27</t>
  </si>
  <si>
    <t>GW-NH/001813539</t>
  </si>
  <si>
    <t>SAKPDC003762/26-27</t>
  </si>
  <si>
    <t>GW-NH/001813540</t>
  </si>
  <si>
    <t>SAKPDC003763/26-27</t>
  </si>
  <si>
    <t>GW-NH/001813541</t>
  </si>
  <si>
    <t>N260916006</t>
  </si>
  <si>
    <t>SAKPDC003764/26-27</t>
  </si>
  <si>
    <t>GW-NH/001813542</t>
  </si>
  <si>
    <t>SAKPDC003765/26-27</t>
  </si>
  <si>
    <t>GW-NH/001813543</t>
  </si>
  <si>
    <t>SAKPDC003766/26-27</t>
  </si>
  <si>
    <t>GW-NH/001813544</t>
  </si>
  <si>
    <t>SAKPDC003767/26-27</t>
  </si>
  <si>
    <t>GW-NH/001813545</t>
  </si>
  <si>
    <t>SAKPDC003768/26-27</t>
  </si>
  <si>
    <t>GW-NH/001813546</t>
  </si>
  <si>
    <t>SAKPDC003769/26-27</t>
  </si>
  <si>
    <t>GW-NH/001813547</t>
  </si>
  <si>
    <t>AP39VB6359</t>
  </si>
  <si>
    <t>SAKPDC003770/26-27</t>
  </si>
  <si>
    <t>GW-NH/001813548</t>
  </si>
  <si>
    <t>SAKPDC003771/26-27</t>
  </si>
  <si>
    <t>GW-NH/001813549</t>
  </si>
  <si>
    <t>SAKPDC003772/26-27</t>
  </si>
  <si>
    <t>GW-NH/001813550</t>
  </si>
  <si>
    <t>SAKPDC003773/26-27</t>
  </si>
  <si>
    <t>GW-NH/001813551</t>
  </si>
  <si>
    <t>SAKPDC003774/26-27</t>
  </si>
  <si>
    <t>GW-NH/001813552</t>
  </si>
  <si>
    <t>SAKPDC003775/26-27</t>
  </si>
  <si>
    <t>GW-NH/001813553</t>
  </si>
  <si>
    <t>SAKPDC003776/26-27</t>
  </si>
  <si>
    <t>GW-NH/001813554</t>
  </si>
  <si>
    <t>SAKPDC003779/26-27</t>
  </si>
  <si>
    <t>GW-NH/001813557</t>
  </si>
  <si>
    <t>SAKPDC003777/26-27</t>
  </si>
  <si>
    <t>GW-NH/001813555</t>
  </si>
  <si>
    <t>SAKPDC003778/26-27</t>
  </si>
  <si>
    <t>GW-NH/001813556</t>
  </si>
  <si>
    <t>SAKPDC003780/26-27</t>
  </si>
  <si>
    <t>GW-NH/001813558</t>
  </si>
  <si>
    <t>AP39WE1161</t>
  </si>
  <si>
    <t>SAKPDC003781/26-27</t>
  </si>
  <si>
    <t>GW-NH/001813559</t>
  </si>
  <si>
    <t>SAKPDC003782/26-27</t>
  </si>
  <si>
    <t>GW-NH/001813560</t>
  </si>
  <si>
    <t>SAKPDC003783/26-27</t>
  </si>
  <si>
    <t>GW-NH/001813561</t>
  </si>
  <si>
    <t>SAKPDC003784/26-27</t>
  </si>
  <si>
    <t>GW-NH/001813562</t>
  </si>
  <si>
    <t>SAKPDC003785/26-27</t>
  </si>
  <si>
    <t>GW-NH/001813563</t>
  </si>
  <si>
    <t>SAKPDC003786/26-27</t>
  </si>
  <si>
    <t>GW-NH/001813564</t>
  </si>
  <si>
    <t>SAKPDC003787/26-27</t>
  </si>
  <si>
    <t>GW-NH/001813565</t>
  </si>
  <si>
    <t>SAKPDC003788/26-27</t>
  </si>
  <si>
    <t>GW-NH/001813566</t>
  </si>
  <si>
    <t>SAKPDC003789/26-27</t>
  </si>
  <si>
    <t>GW-NH/001813567</t>
  </si>
  <si>
    <t>SAKPDC003790/26-27</t>
  </si>
  <si>
    <t>GW-NH/001813568</t>
  </si>
  <si>
    <t>SAKPDC003791/26-27</t>
  </si>
  <si>
    <t>GW-NH/001813569</t>
  </si>
  <si>
    <t>SAKPDC003792/26-27</t>
  </si>
  <si>
    <t>GW-NH/001813570</t>
  </si>
  <si>
    <t>SAKPDC003794/26-27</t>
  </si>
  <si>
    <t>GW-NH/001813572</t>
  </si>
  <si>
    <t>SAKPDC003793/26-27</t>
  </si>
  <si>
    <t>GW-NH/001813571</t>
  </si>
  <si>
    <t>SAKPDC003795/26-27</t>
  </si>
  <si>
    <t>GW-NH/001813573</t>
  </si>
  <si>
    <t>SAKPDC003796/26-27</t>
  </si>
  <si>
    <t>GW-NH/001813574</t>
  </si>
  <si>
    <t>SAKPDC003800/26-27</t>
  </si>
  <si>
    <t>MDLB1257192</t>
  </si>
  <si>
    <t>SAKPDC003797/26-27</t>
  </si>
  <si>
    <t>MDLB1257191</t>
  </si>
  <si>
    <t>SAKPDC003798/26-27</t>
  </si>
  <si>
    <t>GW-NH/001813575</t>
  </si>
  <si>
    <t>SAKPDC003799/26-27</t>
  </si>
  <si>
    <t>GW-NH/001813576</t>
  </si>
  <si>
    <t>SAKPDC003801/26-27</t>
  </si>
  <si>
    <t>MDLB1257193</t>
  </si>
  <si>
    <t>SAKPDC003802/26-27</t>
  </si>
  <si>
    <t>MDLB1257194</t>
  </si>
  <si>
    <t>SAKPDC003803/26-27</t>
  </si>
  <si>
    <t>GW-NH/001813577</t>
  </si>
  <si>
    <t>SAKPDC003804/26-27</t>
  </si>
  <si>
    <t>GW-NH/001813578</t>
  </si>
  <si>
    <t>N260917001</t>
  </si>
  <si>
    <t>Allu shakti babu</t>
  </si>
  <si>
    <t>AP36TB1428</t>
  </si>
  <si>
    <t>SAKPDC003805/26-27</t>
  </si>
  <si>
    <t>GW-NH/001813579</t>
  </si>
  <si>
    <t>SAKPDC003806/26-27</t>
  </si>
  <si>
    <t>GW-NH/001813580</t>
  </si>
  <si>
    <t>N260917002</t>
  </si>
  <si>
    <t>N260917003</t>
  </si>
  <si>
    <t>Vardhan Transport</t>
  </si>
  <si>
    <t>SAKPDC003807/26-27</t>
  </si>
  <si>
    <t>GW-NH/001813581</t>
  </si>
  <si>
    <t>SAKPDC003808/26-27</t>
  </si>
  <si>
    <t>GW-NH/001813582</t>
  </si>
  <si>
    <t>SAKPDC003809/26-27</t>
  </si>
  <si>
    <t>GW-NH/001813583</t>
  </si>
  <si>
    <t>SAKPDC003810/26-27</t>
  </si>
  <si>
    <t>GW-NH/001813584</t>
  </si>
  <si>
    <t>SAKPDC003811/26-27</t>
  </si>
  <si>
    <t>GW-NH/001813585</t>
  </si>
  <si>
    <t>SAKPDC003812/26-27</t>
  </si>
  <si>
    <t>GW-NH/001813586</t>
  </si>
  <si>
    <t>SAKPDC003813/26-27</t>
  </si>
  <si>
    <t>GW-NH/001813587</t>
  </si>
  <si>
    <t>SAKPDC003814/26-27</t>
  </si>
  <si>
    <t>GW-NH/001813588</t>
  </si>
  <si>
    <t>SAKPDC003815/26-27</t>
  </si>
  <si>
    <t>MDLB1257195</t>
  </si>
  <si>
    <t>Arvind Infra Tech Pvt Ltd</t>
  </si>
  <si>
    <t>SAKPDC003816/26-27</t>
  </si>
  <si>
    <t>GW-NH001813589</t>
  </si>
  <si>
    <t>SAKPDC003817/26-27</t>
  </si>
  <si>
    <t>GW-NH001813590</t>
  </si>
  <si>
    <t>SAKPDC003818/26-27</t>
  </si>
  <si>
    <t>GW-NH001813591</t>
  </si>
  <si>
    <t>SAKPDC003820/26-27</t>
  </si>
  <si>
    <t>GW-NH001813593</t>
  </si>
  <si>
    <t>SAKPDC003819/26-27</t>
  </si>
  <si>
    <t>GW-NH001813592</t>
  </si>
  <si>
    <t>SAKPDC003821/26-27</t>
  </si>
  <si>
    <t>GW-NH/001813594</t>
  </si>
  <si>
    <t>SAKPDC003822/26-27</t>
  </si>
  <si>
    <t>GW-NH/001813595</t>
  </si>
  <si>
    <t>SAKPDC003823/26-27</t>
  </si>
  <si>
    <t>GW-NH/001813596</t>
  </si>
  <si>
    <t>SAKPDC003824/26-27</t>
  </si>
  <si>
    <t>MDLB1257196</t>
  </si>
  <si>
    <t>SAKPDC003825/26-27</t>
  </si>
  <si>
    <t>GW-NH/001813597</t>
  </si>
  <si>
    <t>SAKPDC003826/26-27</t>
  </si>
  <si>
    <t>GW-NH/001813598</t>
  </si>
  <si>
    <t>SAKPDC003827/26-27</t>
  </si>
  <si>
    <t>GW-NH/001813599</t>
  </si>
  <si>
    <t>N260918001</t>
  </si>
  <si>
    <t>AP05CR3045</t>
  </si>
  <si>
    <t>SAKPDC003828/26-27</t>
  </si>
  <si>
    <t>MDLB1257197</t>
  </si>
  <si>
    <t>SAKPDC003829/26-27</t>
  </si>
  <si>
    <t>MDLB1257198</t>
  </si>
  <si>
    <t>SAKPDC003830/26-27</t>
  </si>
  <si>
    <t>MDLB1257199</t>
  </si>
  <si>
    <t>N260919001</t>
  </si>
  <si>
    <t>GANGADHAR</t>
  </si>
  <si>
    <t>AP31TG0618</t>
  </si>
  <si>
    <t>SAKPDC003835/26-27</t>
  </si>
  <si>
    <t>MDLB1257204</t>
  </si>
  <si>
    <t>SAKPDC003832/26-27</t>
  </si>
  <si>
    <t>MDLB1257201</t>
  </si>
  <si>
    <t>SAKPDC003833/26-27</t>
  </si>
  <si>
    <t>MDLB1257202</t>
  </si>
  <si>
    <t>SAKPDC003831/26-27</t>
  </si>
  <si>
    <t>MDLB1257200</t>
  </si>
  <si>
    <t>SAKPDC003834/26-27</t>
  </si>
  <si>
    <t>MDLB1257203</t>
  </si>
  <si>
    <t>N260919002</t>
  </si>
  <si>
    <t>N260919003</t>
  </si>
  <si>
    <t>D NARESH</t>
  </si>
  <si>
    <t>AP39UG1615</t>
  </si>
  <si>
    <t>N260919004</t>
  </si>
  <si>
    <t>N260919005</t>
  </si>
  <si>
    <t>N260919006</t>
  </si>
  <si>
    <t>N260919007</t>
  </si>
  <si>
    <t>GSB/WET MIX</t>
  </si>
  <si>
    <t>N260920001</t>
  </si>
  <si>
    <t>N260920002</t>
  </si>
  <si>
    <t>G JARNATHAM</t>
  </si>
  <si>
    <t>AP31TT9589</t>
  </si>
  <si>
    <t>N260920003</t>
  </si>
  <si>
    <t>GOPI KRISHNA</t>
  </si>
  <si>
    <t>AP31TT0396</t>
  </si>
  <si>
    <t>N260920004</t>
  </si>
  <si>
    <t>N260920005</t>
  </si>
  <si>
    <t>SAKPDC003836/26-27</t>
  </si>
  <si>
    <t>MDLB1257205</t>
  </si>
  <si>
    <t>SAKPDC003837/26-27</t>
  </si>
  <si>
    <t>MDLB1257206</t>
  </si>
  <si>
    <t>AP39WB4919</t>
  </si>
  <si>
    <t>N260920006</t>
  </si>
  <si>
    <t>JAGANNATHAN</t>
  </si>
  <si>
    <t>AP31TG8469</t>
  </si>
  <si>
    <t>N2609211113001</t>
  </si>
  <si>
    <t>SAKPDC003838/26-27</t>
  </si>
  <si>
    <t>MDLB1257207</t>
  </si>
  <si>
    <t>SAKPDC003839/26-27</t>
  </si>
  <si>
    <t>MDLB1257208</t>
  </si>
  <si>
    <t>SAKPDC003840/26-27</t>
  </si>
  <si>
    <t>MDLB1257209</t>
  </si>
  <si>
    <t>SAKPDC003841/26-27</t>
  </si>
  <si>
    <t>MDLB1257210</t>
  </si>
  <si>
    <t>SAKPDC003842/26-27</t>
  </si>
  <si>
    <t>MDLB1257211</t>
  </si>
  <si>
    <t>SAKPDC003844/26-27</t>
  </si>
  <si>
    <t>MDLB1257213</t>
  </si>
  <si>
    <t>N2609211113002</t>
  </si>
  <si>
    <t>SAKPDC003843/26-27</t>
  </si>
  <si>
    <t>MDLB1257212</t>
  </si>
  <si>
    <t>N2609211113003</t>
  </si>
  <si>
    <t>SAKPDC003846/26-27</t>
  </si>
  <si>
    <t>MDLB1257215</t>
  </si>
  <si>
    <t>SAKPDC003845/26-27</t>
  </si>
  <si>
    <t>MDLB1257214</t>
  </si>
  <si>
    <t>SAKPDC003848/26-27</t>
  </si>
  <si>
    <t>MDLB1257217</t>
  </si>
  <si>
    <t>SAKPDC003847/26-27</t>
  </si>
  <si>
    <t>MDLB1257216</t>
  </si>
  <si>
    <t>SAKPDC00384/26-27</t>
  </si>
  <si>
    <t>MDLB1257218</t>
  </si>
  <si>
    <t>N2609211113004</t>
  </si>
  <si>
    <t>N2609211113005</t>
  </si>
  <si>
    <t>N2609211113006</t>
  </si>
  <si>
    <t>GANGADGAR</t>
  </si>
  <si>
    <t>N2609211113007</t>
  </si>
  <si>
    <t>MAKAVARAM TEMPLE PURPOSE</t>
  </si>
  <si>
    <t>AP39UU7146</t>
  </si>
  <si>
    <t>SAKPDC00385/26-27</t>
  </si>
  <si>
    <t>MDLB1257219</t>
  </si>
  <si>
    <t>SGX MINERALS PVT LTD</t>
  </si>
  <si>
    <t>N2609221113001</t>
  </si>
  <si>
    <t>AP05TF0188</t>
  </si>
  <si>
    <t>N2609251113001</t>
  </si>
  <si>
    <t>N2609251113002</t>
  </si>
  <si>
    <t>N2609261113001</t>
  </si>
  <si>
    <t>MDLB1257242</t>
  </si>
  <si>
    <t>SAKPDC003851/26-27</t>
  </si>
  <si>
    <t>MDLB1257243</t>
  </si>
  <si>
    <t>SAKPDC003852/26-27</t>
  </si>
  <si>
    <t>MDLB1257244</t>
  </si>
  <si>
    <t>SAKPDC003853/26-27</t>
  </si>
  <si>
    <t>MDLB1257245</t>
  </si>
  <si>
    <t>N2609261113002</t>
  </si>
  <si>
    <t>ADI BABU</t>
  </si>
  <si>
    <t>AP39WL8766</t>
  </si>
  <si>
    <t>N2609261113003</t>
  </si>
  <si>
    <t>SANJAY SSINGH</t>
  </si>
  <si>
    <t>N2609261113004</t>
  </si>
  <si>
    <t>SAKPDC003854/26-27</t>
  </si>
  <si>
    <t>MDLB1257258</t>
  </si>
  <si>
    <t>N2609271113001</t>
  </si>
  <si>
    <t>SAKPDC003855/26-27</t>
  </si>
  <si>
    <t>MDLB1257259</t>
  </si>
  <si>
    <t>SAKPDC003856/26-27</t>
  </si>
  <si>
    <t>MDLB1257260</t>
  </si>
  <si>
    <t>SAKPDC003859/26-27</t>
  </si>
  <si>
    <t>MDLB1257263</t>
  </si>
  <si>
    <t>SAKPDC003857/26-27</t>
  </si>
  <si>
    <t>MDLB1257261</t>
  </si>
  <si>
    <t>SAKPDC003861/26-27</t>
  </si>
  <si>
    <t>MDLB1257264</t>
  </si>
  <si>
    <t>SAKPDC003858/26-27</t>
  </si>
  <si>
    <t>MDLB1257262</t>
  </si>
  <si>
    <t>SAKPDC003863/26-27</t>
  </si>
  <si>
    <t>MDLB1257266</t>
  </si>
  <si>
    <t>SAKPDC003862/26-27</t>
  </si>
  <si>
    <t>MDLB1257265</t>
  </si>
  <si>
    <t>SAKPDC003866/26-27</t>
  </si>
  <si>
    <t>MDLB1257269</t>
  </si>
  <si>
    <t>SAKPDC003864/26-27</t>
  </si>
  <si>
    <t>MDLB1257267</t>
  </si>
  <si>
    <t>SAKPDC003865/26-27</t>
  </si>
  <si>
    <t>MDLB1257268</t>
  </si>
  <si>
    <t>SAKPDC003867/26-27</t>
  </si>
  <si>
    <t>SAKPDC003869/26-27</t>
  </si>
  <si>
    <t>MDLB1257272</t>
  </si>
  <si>
    <t>SAKPDC003870/26-27</t>
  </si>
  <si>
    <t>MDLB1257273</t>
  </si>
  <si>
    <t>SAKPDC003871/26-27</t>
  </si>
  <si>
    <t>MDLB1257274</t>
  </si>
  <si>
    <t>SAKPDC003877/26-27</t>
  </si>
  <si>
    <t>MDLB1257280</t>
  </si>
  <si>
    <t>SAKPDC003872/26-27</t>
  </si>
  <si>
    <t>MDLB1257275</t>
  </si>
  <si>
    <t>SAKPDC003875/26-27</t>
  </si>
  <si>
    <t>MDLB1257278</t>
  </si>
  <si>
    <t>SAKPDC003873/26-27</t>
  </si>
  <si>
    <t>MDLB1257276</t>
  </si>
  <si>
    <t>SAKPDC003876/26-27</t>
  </si>
  <si>
    <t>MDLB1257279</t>
  </si>
  <si>
    <t>SAKPDC003874/26-27</t>
  </si>
  <si>
    <t>MDLB1257277</t>
  </si>
  <si>
    <t>SAKPDC003879/26-27</t>
  </si>
  <si>
    <t>MDLB1257282</t>
  </si>
  <si>
    <t>SAKPDC003878/26-27</t>
  </si>
  <si>
    <t>MDLB1257281</t>
  </si>
  <si>
    <t>SAKPDC003881/26-27</t>
  </si>
  <si>
    <t>MDLB1257284</t>
  </si>
  <si>
    <t>SAKPDC003880/26-27</t>
  </si>
  <si>
    <t>MDLB1257283</t>
  </si>
  <si>
    <t>N2609291113001</t>
  </si>
  <si>
    <t>GANAPATHI</t>
  </si>
  <si>
    <t>AP39W3462</t>
  </si>
  <si>
    <t>SAKPDC003882/26-27</t>
  </si>
  <si>
    <t>MDLB1257285</t>
  </si>
  <si>
    <t>SAKPDC003883/26-27</t>
  </si>
  <si>
    <t>MDLB1257286</t>
  </si>
  <si>
    <t>SAKPDC003884/26-27</t>
  </si>
  <si>
    <t>MDLB1257287</t>
  </si>
  <si>
    <t>SAKPDC003885/26-27</t>
  </si>
  <si>
    <t>MDLB1257288</t>
  </si>
  <si>
    <t>40MM</t>
  </si>
  <si>
    <t>SAKPDC003886/26-27</t>
  </si>
  <si>
    <t>MDLB1257289</t>
  </si>
  <si>
    <t>SAKPDC003887/26-27</t>
  </si>
  <si>
    <t>GW-NH/001813600</t>
  </si>
  <si>
    <t>SAKPDC003888/26-27</t>
  </si>
  <si>
    <t>MDLB1257290</t>
  </si>
  <si>
    <t>SAKPDC003889/26-27</t>
  </si>
  <si>
    <t>MDLB1257291</t>
  </si>
  <si>
    <t>N260921113002</t>
  </si>
  <si>
    <t>N260921113003</t>
  </si>
  <si>
    <t>SAKPDC003890/26-27</t>
  </si>
  <si>
    <t>GW-NH/001813926</t>
  </si>
  <si>
    <t>SAKPDC003891/26-27</t>
  </si>
  <si>
    <t>MDLB1257292</t>
  </si>
  <si>
    <t>SAKPDC003892/26-27</t>
  </si>
  <si>
    <t>GW-NH/001813927</t>
  </si>
  <si>
    <t>SAKPDC003893/26-27</t>
  </si>
  <si>
    <t>GW-NH/001813928</t>
  </si>
  <si>
    <t>SAKPDC003894/26-27</t>
  </si>
  <si>
    <t>GW-NH/001813929</t>
  </si>
  <si>
    <t>SAKPDC003899/26-27</t>
  </si>
  <si>
    <t>MDLB1257296</t>
  </si>
  <si>
    <t>SAKPDC003895/26-27</t>
  </si>
  <si>
    <t>GW-NH/001813930</t>
  </si>
  <si>
    <t>SAKPDC003897/26-27</t>
  </si>
  <si>
    <t>MDLB1257293</t>
  </si>
  <si>
    <t>SAKPDC003898/26-27</t>
  </si>
  <si>
    <t>MDLB1257294</t>
  </si>
  <si>
    <t>SAKPDC003896/26-27</t>
  </si>
  <si>
    <t>GW-NH/001813931</t>
  </si>
  <si>
    <t>MDLB1257295</t>
  </si>
  <si>
    <t>SAKPDC003900/26-27</t>
  </si>
  <si>
    <t>GW-NH/001813932</t>
  </si>
  <si>
    <t>AP39UK0365</t>
  </si>
  <si>
    <t>SAKPDC003901/26-27</t>
  </si>
  <si>
    <t>GW-NH/001813933</t>
  </si>
  <si>
    <t>SAKPDC003902/26-27</t>
  </si>
  <si>
    <t>GW-NH/001813934</t>
  </si>
  <si>
    <t>SAKPDC003904/26-27</t>
  </si>
  <si>
    <t>MDLB1257298</t>
  </si>
  <si>
    <t>SAKPDC003910/26-27</t>
  </si>
  <si>
    <t>MDLB1257303</t>
  </si>
  <si>
    <t>SAKPDC003903/26-27</t>
  </si>
  <si>
    <t>MDLB1257297</t>
  </si>
  <si>
    <t>SAKPDC003906/26-27</t>
  </si>
  <si>
    <t>MDLB1257300</t>
  </si>
  <si>
    <t>SAKPDC003905/26-27</t>
  </si>
  <si>
    <t>MDLB1257299</t>
  </si>
  <si>
    <t>SAKPDC003907/26-27</t>
  </si>
  <si>
    <t>GW-NH/001813935</t>
  </si>
  <si>
    <t>SAKPDC003909/26-27</t>
  </si>
  <si>
    <t>MDLB1257302</t>
  </si>
  <si>
    <t>SAKPDC003908/26-27</t>
  </si>
  <si>
    <t>MDLB1257301</t>
  </si>
  <si>
    <t>SAKPDC003911/26-27</t>
  </si>
  <si>
    <t>MDLB1257304</t>
  </si>
  <si>
    <t>URBAN CONS LLP</t>
  </si>
  <si>
    <t>SAKPDC003912/26-27</t>
  </si>
  <si>
    <t>GW-NH/001813936</t>
  </si>
  <si>
    <t>SAKPDC003913/26-27</t>
  </si>
  <si>
    <t>GW-NH/001813937</t>
  </si>
  <si>
    <t>SAKPDC003914/26-27</t>
  </si>
  <si>
    <t>GW-NH/001813938</t>
  </si>
  <si>
    <t>SAKPDC003915/26-27</t>
  </si>
  <si>
    <t>GW-NH/001813939</t>
  </si>
  <si>
    <t>AP39WP5148</t>
  </si>
  <si>
    <t>SAKPDC003916/26-27</t>
  </si>
  <si>
    <t>GW-NH/001813940</t>
  </si>
  <si>
    <t>AP39VD1386</t>
  </si>
  <si>
    <t>SAKPDC003917/26-27</t>
  </si>
  <si>
    <t>MDLB1257305</t>
  </si>
  <si>
    <t>N2609301113001</t>
  </si>
  <si>
    <t>N2609301113002</t>
  </si>
  <si>
    <t>N2609301113004</t>
  </si>
  <si>
    <t>N2609301113005</t>
  </si>
  <si>
    <t>N2609301113006</t>
  </si>
  <si>
    <t>MDLB1257306</t>
  </si>
  <si>
    <t>G SRINIVASA RAO</t>
  </si>
  <si>
    <t>AP39WU1579</t>
  </si>
  <si>
    <t>SAKPDC003918/26-27</t>
  </si>
  <si>
    <t>MDLB1257307</t>
  </si>
  <si>
    <t>SAKPDC003919/26-27</t>
  </si>
  <si>
    <t>MDLB1257308</t>
  </si>
  <si>
    <t>SAKPDC003923/26-27</t>
  </si>
  <si>
    <t>MDLB1257312</t>
  </si>
  <si>
    <t>SAKPDC003922/26-27</t>
  </si>
  <si>
    <t>MDLB1257311</t>
  </si>
  <si>
    <t>SAKPDC003920/26-27</t>
  </si>
  <si>
    <t>MDLB1257309</t>
  </si>
  <si>
    <t>SAKPDC003925/26-27</t>
  </si>
  <si>
    <t>MDLB1257314</t>
  </si>
  <si>
    <t>SAKPDC003921/26-27</t>
  </si>
  <si>
    <t>MDLB1257310</t>
  </si>
  <si>
    <t>SAKPDC003924/26-27</t>
  </si>
  <si>
    <t>MDLB1257313</t>
  </si>
  <si>
    <t>Ravalamma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</si>
</sst>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_-* #,##0.00_-;\-* #,##0.00_-;_-* &quot;-&quot;??_-;_-@_-"/>
    <numFmt numFmtId="167" formatCode="0.00_ "/>
    <numFmt numFmtId="168" formatCode="0.00;[Red]0.00"/>
    <numFmt numFmtId="169" formatCode="0;[Red]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77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9" fillId="4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7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168" fontId="9" fillId="4" borderId="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14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9" fontId="10" fillId="4" borderId="1" xfId="0" applyNumberFormat="1" applyFont="1" applyFill="1" applyBorder="1" applyAlignment="1">
      <alignment horizontal="center" vertical="center"/>
    </xf>
    <xf numFmtId="1" fontId="10" fillId="8" borderId="8" xfId="0" applyNumberFormat="1" applyFont="1" applyFill="1" applyBorder="1" applyAlignment="1">
      <alignment horizontal="center" vertical="center" wrapText="1"/>
    </xf>
    <xf numFmtId="1" fontId="10" fillId="8" borderId="9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/>
    </xf>
    <xf numFmtId="1" fontId="10" fillId="4" borderId="8" xfId="0" applyNumberFormat="1" applyFont="1" applyFill="1" applyBorder="1" applyAlignment="1">
      <alignment horizontal="center" vertical="center" wrapText="1"/>
    </xf>
    <xf numFmtId="1" fontId="10" fillId="4" borderId="9" xfId="0" applyNumberFormat="1" applyFont="1" applyFill="1" applyBorder="1" applyAlignment="1">
      <alignment horizontal="center" vertical="center" wrapText="1"/>
    </xf>
    <xf numFmtId="1" fontId="10" fillId="4" borderId="8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3">
    <cellStyle name="Comma 2" xfId="2" xr:uid="{00000000-0005-0000-0000-000001000000}"/>
    <cellStyle name="Comma 2 2" xfId="4" xr:uid="{00000000-0005-0000-0000-000002000000}"/>
    <cellStyle name="Comma 3" xfId="1" xr:uid="{00000000-0005-0000-0000-000003000000}"/>
    <cellStyle name="Comma 3 2" xfId="5" xr:uid="{00000000-0005-0000-0000-000004000000}"/>
    <cellStyle name="Comma 4" xfId="9" xr:uid="{00000000-0005-0000-0000-000005000000}"/>
    <cellStyle name="Comma 5" xfId="10" xr:uid="{00000000-0005-0000-0000-000006000000}"/>
    <cellStyle name="Hyperlink 2" xfId="11" xr:uid="{00000000-0005-0000-0000-000007000000}"/>
    <cellStyle name="Normal" xfId="0" builtinId="0"/>
    <cellStyle name="Normal 10 2 2 5" xfId="12" xr:uid="{00000000-0005-0000-0000-000009000000}"/>
    <cellStyle name="Normal 2" xfId="3" xr:uid="{00000000-0005-0000-0000-00000A000000}"/>
    <cellStyle name="Normal 2 2" xfId="7" xr:uid="{00000000-0005-0000-0000-00000B000000}"/>
    <cellStyle name="Normal 2 3" xfId="6" xr:uid="{00000000-0005-0000-0000-00000C000000}"/>
    <cellStyle name="Normal 3" xfId="8" xr:uid="{00000000-0005-0000-0000-00000D000000}"/>
  </cellStyles>
  <dxfs count="8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C209794B-95D5-46E9-8F5A-83E417611E2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B5AFD329-3157-42C4-A2FA-09EDF98D8404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639FC08-0F18-44A6-B845-ADB0509D9BA2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70D96722-13B4-4DBC-A6E1-79E888256C3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EF7EA2E-AC10-4058-8092-798D2D659591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9720D65-BAD5-461A-84C6-6A401B24BA5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F3EFB7E-E434-4C1F-94A2-AE6B0DFA34E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25780"/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C2BB82B-310D-4A8D-9D77-20B3DE18398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0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6601176A-48CB-4580-8409-BE0992605A2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1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FB81B2ED-07B7-4B01-B0C9-A7CF33584ED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2D0F721-A8A5-4C64-A317-5EA241C05A47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508F637-F78E-47F1-8689-27A7668913B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853F761-8A50-4D12-BC6D-B4DA9CA903F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24E6FE5-3184-4E94-A69F-0A3BA5027AC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015641B-AD85-4810-9DF2-469F6BC0889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</xdr:row>
      <xdr:rowOff>0</xdr:rowOff>
    </xdr:from>
    <xdr:ext cx="304800" cy="506730"/>
    <xdr:sp macro="" textlink="">
      <xdr:nvSpPr>
        <xdr:cNvPr id="1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0E863BE-B91B-4D42-9C5C-2058E9E42D7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34"/>
  <sheetViews>
    <sheetView tabSelected="1" workbookViewId="0">
      <selection activeCell="L7" sqref="L7"/>
    </sheetView>
  </sheetViews>
  <sheetFormatPr defaultColWidth="9.109375" defaultRowHeight="14.4" x14ac:dyDescent="0.3"/>
  <cols>
    <col min="1" max="1" width="5.44140625" bestFit="1" customWidth="1"/>
    <col min="2" max="3" width="14.5546875" bestFit="1" customWidth="1"/>
    <col min="4" max="4" width="16.5546875" bestFit="1" customWidth="1"/>
    <col min="5" max="5" width="21.6640625" bestFit="1" customWidth="1"/>
    <col min="6" max="6" width="14.33203125" bestFit="1" customWidth="1"/>
    <col min="7" max="7" width="13.33203125" bestFit="1" customWidth="1"/>
    <col min="8" max="8" width="9" bestFit="1" customWidth="1"/>
    <col min="9" max="9" width="41.44140625" bestFit="1" customWidth="1"/>
    <col min="10" max="10" width="8" bestFit="1" customWidth="1"/>
    <col min="11" max="11" width="8.109375" bestFit="1" customWidth="1"/>
    <col min="12" max="12" width="13.88671875" bestFit="1" customWidth="1"/>
    <col min="13" max="13" width="13.109375" bestFit="1" customWidth="1"/>
    <col min="14" max="14" width="7" bestFit="1" customWidth="1"/>
    <col min="15" max="15" width="7.33203125" customWidth="1"/>
    <col min="16" max="16" width="10" bestFit="1" customWidth="1"/>
    <col min="18" max="18" width="13.33203125" bestFit="1" customWidth="1"/>
    <col min="19" max="19" width="9.44140625" bestFit="1" customWidth="1"/>
    <col min="20" max="20" width="10.88671875" bestFit="1" customWidth="1"/>
    <col min="21" max="21" width="19.88671875" style="6" bestFit="1" customWidth="1"/>
    <col min="22" max="22" width="26" bestFit="1" customWidth="1"/>
    <col min="23" max="23" width="6.5546875" bestFit="1" customWidth="1"/>
    <col min="24" max="24" width="10" bestFit="1" customWidth="1"/>
    <col min="25" max="25" width="8" bestFit="1" customWidth="1"/>
    <col min="26" max="26" width="11.5546875" bestFit="1" customWidth="1"/>
    <col min="27" max="27" width="13.109375" bestFit="1" customWidth="1"/>
    <col min="28" max="28" width="20" bestFit="1" customWidth="1"/>
  </cols>
  <sheetData>
    <row r="1" spans="1:28" ht="42.6" customHeight="1" x14ac:dyDescent="0.3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7" t="s">
        <v>25</v>
      </c>
      <c r="J1" s="4" t="s">
        <v>8</v>
      </c>
      <c r="K1" s="4" t="s">
        <v>26</v>
      </c>
      <c r="L1" s="4" t="s">
        <v>9</v>
      </c>
      <c r="M1" s="4" t="s">
        <v>27</v>
      </c>
      <c r="N1" s="4" t="s">
        <v>10</v>
      </c>
      <c r="O1" s="4" t="s">
        <v>28</v>
      </c>
      <c r="P1" s="3" t="s">
        <v>11</v>
      </c>
      <c r="Q1" s="4" t="s">
        <v>12</v>
      </c>
      <c r="R1" s="1" t="s">
        <v>13</v>
      </c>
      <c r="S1" s="4" t="s">
        <v>14</v>
      </c>
      <c r="T1" s="4" t="s">
        <v>29</v>
      </c>
      <c r="U1" s="4" t="s">
        <v>15</v>
      </c>
      <c r="V1" s="3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76" t="s">
        <v>22</v>
      </c>
    </row>
    <row r="2" spans="1:28" s="16" customFormat="1" x14ac:dyDescent="0.3">
      <c r="A2" s="18">
        <v>1</v>
      </c>
      <c r="B2" s="8">
        <v>46266</v>
      </c>
      <c r="C2" s="8">
        <v>46266</v>
      </c>
      <c r="D2" s="20">
        <v>260901010</v>
      </c>
      <c r="E2" s="21"/>
      <c r="F2" s="9"/>
      <c r="G2" s="9"/>
      <c r="H2" s="25"/>
      <c r="I2" s="26" t="s">
        <v>32</v>
      </c>
      <c r="J2" s="27" t="s">
        <v>23</v>
      </c>
      <c r="K2" s="26" t="s">
        <v>30</v>
      </c>
      <c r="L2" s="75" t="s">
        <v>33</v>
      </c>
      <c r="M2" s="9" t="s">
        <v>34</v>
      </c>
      <c r="N2" s="9">
        <v>41.5</v>
      </c>
      <c r="O2" s="9">
        <v>13.94</v>
      </c>
      <c r="P2" s="10">
        <f>N2-O2</f>
        <v>27.560000000000002</v>
      </c>
      <c r="Q2" s="11">
        <v>0</v>
      </c>
      <c r="R2" s="12">
        <f t="shared" ref="R2:R65" si="0">P2*Q2</f>
        <v>0</v>
      </c>
      <c r="S2" s="11"/>
      <c r="T2" s="13"/>
      <c r="V2" s="19" t="s">
        <v>24</v>
      </c>
      <c r="W2" s="11"/>
      <c r="X2" s="14">
        <f t="shared" ref="X2:X26" si="1">P2*W2</f>
        <v>0</v>
      </c>
      <c r="Y2" s="15"/>
      <c r="Z2" s="15">
        <f t="shared" ref="Z2:Z26" si="2">P2*Y2</f>
        <v>0</v>
      </c>
      <c r="AA2" s="13">
        <f t="shared" ref="AA2:AA26" si="3">R2+X2+Z2</f>
        <v>0</v>
      </c>
      <c r="AB2" s="29"/>
    </row>
    <row r="3" spans="1:28" s="16" customFormat="1" x14ac:dyDescent="0.3">
      <c r="A3" s="18">
        <v>2</v>
      </c>
      <c r="B3" s="8">
        <v>46266</v>
      </c>
      <c r="C3" s="8">
        <v>46266</v>
      </c>
      <c r="D3" s="22" t="s">
        <v>35</v>
      </c>
      <c r="E3" s="21"/>
      <c r="F3" s="9"/>
      <c r="G3" s="9"/>
      <c r="H3" s="30"/>
      <c r="I3" s="26" t="s">
        <v>32</v>
      </c>
      <c r="J3" s="27" t="s">
        <v>23</v>
      </c>
      <c r="K3" s="26" t="s">
        <v>30</v>
      </c>
      <c r="L3" s="17" t="s">
        <v>36</v>
      </c>
      <c r="M3" s="9" t="s">
        <v>34</v>
      </c>
      <c r="N3" s="9">
        <v>38.4</v>
      </c>
      <c r="O3" s="9">
        <v>14.18</v>
      </c>
      <c r="P3" s="10">
        <f>N3-O3</f>
        <v>24.22</v>
      </c>
      <c r="Q3" s="11">
        <v>0</v>
      </c>
      <c r="R3" s="12">
        <f t="shared" si="0"/>
        <v>0</v>
      </c>
      <c r="S3" s="11"/>
      <c r="T3" s="13"/>
      <c r="V3" s="19" t="s">
        <v>24</v>
      </c>
      <c r="W3" s="11"/>
      <c r="X3" s="14">
        <f t="shared" si="1"/>
        <v>0</v>
      </c>
      <c r="Y3" s="15"/>
      <c r="Z3" s="15">
        <f t="shared" si="2"/>
        <v>0</v>
      </c>
      <c r="AA3" s="13">
        <f t="shared" si="3"/>
        <v>0</v>
      </c>
    </row>
    <row r="4" spans="1:28" s="28" customFormat="1" x14ac:dyDescent="0.3">
      <c r="A4" s="18">
        <v>3</v>
      </c>
      <c r="B4" s="8">
        <v>46266</v>
      </c>
      <c r="C4" s="8">
        <v>46266</v>
      </c>
      <c r="D4" s="22" t="s">
        <v>37</v>
      </c>
      <c r="E4" s="21"/>
      <c r="F4" s="9"/>
      <c r="G4" s="9"/>
      <c r="H4" s="30"/>
      <c r="I4" s="26" t="s">
        <v>32</v>
      </c>
      <c r="J4" s="27" t="s">
        <v>23</v>
      </c>
      <c r="K4" s="26" t="s">
        <v>30</v>
      </c>
      <c r="L4" s="17" t="s">
        <v>33</v>
      </c>
      <c r="M4" s="9" t="s">
        <v>34</v>
      </c>
      <c r="N4" s="9">
        <v>34.020000000000003</v>
      </c>
      <c r="O4" s="9">
        <v>14.32</v>
      </c>
      <c r="P4" s="10">
        <f t="shared" ref="P4:P26" si="4">N4-O4</f>
        <v>19.700000000000003</v>
      </c>
      <c r="Q4" s="11">
        <v>0</v>
      </c>
      <c r="R4" s="12">
        <f t="shared" si="0"/>
        <v>0</v>
      </c>
      <c r="S4" s="11"/>
      <c r="T4" s="13"/>
      <c r="V4" s="19" t="s">
        <v>24</v>
      </c>
      <c r="W4" s="11"/>
      <c r="X4" s="14">
        <f t="shared" si="1"/>
        <v>0</v>
      </c>
      <c r="Y4" s="15"/>
      <c r="Z4" s="15">
        <f t="shared" si="2"/>
        <v>0</v>
      </c>
      <c r="AA4" s="13">
        <f t="shared" si="3"/>
        <v>0</v>
      </c>
    </row>
    <row r="5" spans="1:28" s="16" customFormat="1" x14ac:dyDescent="0.3">
      <c r="A5" s="18">
        <v>4</v>
      </c>
      <c r="B5" s="8">
        <v>46266</v>
      </c>
      <c r="C5" s="8">
        <v>46266</v>
      </c>
      <c r="D5" s="22" t="s">
        <v>38</v>
      </c>
      <c r="E5" s="21"/>
      <c r="F5" s="9"/>
      <c r="G5" s="9"/>
      <c r="H5" s="30"/>
      <c r="I5" s="26" t="s">
        <v>32</v>
      </c>
      <c r="J5" s="27" t="s">
        <v>23</v>
      </c>
      <c r="K5" s="26" t="s">
        <v>30</v>
      </c>
      <c r="L5" s="17" t="s">
        <v>39</v>
      </c>
      <c r="M5" s="9" t="s">
        <v>34</v>
      </c>
      <c r="N5" s="9">
        <v>36.92</v>
      </c>
      <c r="O5" s="9">
        <v>15.44</v>
      </c>
      <c r="P5" s="10">
        <f t="shared" si="4"/>
        <v>21.480000000000004</v>
      </c>
      <c r="Q5" s="11">
        <v>0</v>
      </c>
      <c r="R5" s="12">
        <f t="shared" si="0"/>
        <v>0</v>
      </c>
      <c r="S5" s="11"/>
      <c r="T5" s="13"/>
      <c r="V5" s="19" t="s">
        <v>24</v>
      </c>
      <c r="W5" s="11"/>
      <c r="X5" s="14">
        <f t="shared" si="1"/>
        <v>0</v>
      </c>
      <c r="Y5" s="15"/>
      <c r="Z5" s="15">
        <f t="shared" si="2"/>
        <v>0</v>
      </c>
      <c r="AA5" s="13">
        <f t="shared" si="3"/>
        <v>0</v>
      </c>
    </row>
    <row r="6" spans="1:28" s="16" customFormat="1" x14ac:dyDescent="0.3">
      <c r="A6" s="18">
        <v>5</v>
      </c>
      <c r="B6" s="8">
        <v>46266</v>
      </c>
      <c r="C6" s="8">
        <v>46266</v>
      </c>
      <c r="D6" s="22" t="s">
        <v>40</v>
      </c>
      <c r="E6" s="21"/>
      <c r="F6" s="9"/>
      <c r="G6" s="9"/>
      <c r="H6" s="31"/>
      <c r="I6" s="26" t="s">
        <v>32</v>
      </c>
      <c r="J6" s="27" t="s">
        <v>23</v>
      </c>
      <c r="K6" s="26" t="s">
        <v>30</v>
      </c>
      <c r="L6" s="17" t="s">
        <v>41</v>
      </c>
      <c r="M6" s="9" t="s">
        <v>34</v>
      </c>
      <c r="N6" s="9">
        <v>36.119999999999997</v>
      </c>
      <c r="O6" s="9">
        <v>14.84</v>
      </c>
      <c r="P6" s="10">
        <f t="shared" si="4"/>
        <v>21.279999999999998</v>
      </c>
      <c r="Q6" s="11">
        <v>0</v>
      </c>
      <c r="R6" s="12">
        <f t="shared" si="0"/>
        <v>0</v>
      </c>
      <c r="S6" s="11"/>
      <c r="T6" s="13"/>
      <c r="V6" s="19" t="s">
        <v>24</v>
      </c>
      <c r="W6" s="11"/>
      <c r="X6" s="14">
        <f t="shared" si="1"/>
        <v>0</v>
      </c>
      <c r="Y6" s="15"/>
      <c r="Z6" s="15">
        <f t="shared" si="2"/>
        <v>0</v>
      </c>
      <c r="AA6" s="13">
        <f t="shared" si="3"/>
        <v>0</v>
      </c>
    </row>
    <row r="7" spans="1:28" s="28" customFormat="1" x14ac:dyDescent="0.3">
      <c r="A7" s="18">
        <v>6</v>
      </c>
      <c r="B7" s="8">
        <v>46266</v>
      </c>
      <c r="C7" s="8">
        <v>46266</v>
      </c>
      <c r="D7" s="22" t="s">
        <v>42</v>
      </c>
      <c r="E7" s="21"/>
      <c r="F7" s="9"/>
      <c r="G7" s="9"/>
      <c r="H7" s="31"/>
      <c r="I7" s="26" t="s">
        <v>32</v>
      </c>
      <c r="J7" s="27" t="s">
        <v>23</v>
      </c>
      <c r="K7" s="26" t="s">
        <v>30</v>
      </c>
      <c r="L7" s="17" t="s">
        <v>43</v>
      </c>
      <c r="M7" s="9" t="s">
        <v>34</v>
      </c>
      <c r="N7" s="9">
        <v>37.64</v>
      </c>
      <c r="O7" s="9">
        <v>15</v>
      </c>
      <c r="P7" s="10">
        <f t="shared" si="4"/>
        <v>22.64</v>
      </c>
      <c r="Q7" s="11">
        <v>0</v>
      </c>
      <c r="R7" s="12">
        <f t="shared" si="0"/>
        <v>0</v>
      </c>
      <c r="S7" s="11"/>
      <c r="T7" s="13"/>
      <c r="V7" s="19" t="s">
        <v>24</v>
      </c>
      <c r="W7" s="11"/>
      <c r="X7" s="14">
        <f t="shared" si="1"/>
        <v>0</v>
      </c>
      <c r="Y7" s="15"/>
      <c r="Z7" s="15">
        <f t="shared" si="2"/>
        <v>0</v>
      </c>
      <c r="AA7" s="13">
        <f t="shared" si="3"/>
        <v>0</v>
      </c>
    </row>
    <row r="8" spans="1:28" s="16" customFormat="1" x14ac:dyDescent="0.3">
      <c r="A8" s="18">
        <v>7</v>
      </c>
      <c r="B8" s="8">
        <v>46266</v>
      </c>
      <c r="C8" s="8">
        <v>46266</v>
      </c>
      <c r="D8" s="22" t="s">
        <v>44</v>
      </c>
      <c r="E8" s="21"/>
      <c r="F8" s="9"/>
      <c r="G8" s="9"/>
      <c r="H8" s="32"/>
      <c r="I8" s="26" t="s">
        <v>32</v>
      </c>
      <c r="J8" s="27" t="s">
        <v>23</v>
      </c>
      <c r="K8" s="26" t="s">
        <v>30</v>
      </c>
      <c r="L8" s="17" t="s">
        <v>45</v>
      </c>
      <c r="M8" s="9" t="s">
        <v>34</v>
      </c>
      <c r="N8" s="9">
        <v>36.96</v>
      </c>
      <c r="O8" s="9">
        <v>14.38</v>
      </c>
      <c r="P8" s="10">
        <f t="shared" si="4"/>
        <v>22.58</v>
      </c>
      <c r="Q8" s="11">
        <v>0</v>
      </c>
      <c r="R8" s="12">
        <f t="shared" si="0"/>
        <v>0</v>
      </c>
      <c r="S8" s="11"/>
      <c r="T8" s="13"/>
      <c r="V8" s="19" t="s">
        <v>24</v>
      </c>
      <c r="W8" s="11"/>
      <c r="X8" s="14">
        <f t="shared" si="1"/>
        <v>0</v>
      </c>
      <c r="Y8" s="15"/>
      <c r="Z8" s="15">
        <f t="shared" si="2"/>
        <v>0</v>
      </c>
      <c r="AA8" s="13">
        <f t="shared" si="3"/>
        <v>0</v>
      </c>
    </row>
    <row r="9" spans="1:28" s="16" customFormat="1" x14ac:dyDescent="0.3">
      <c r="A9" s="18">
        <v>8</v>
      </c>
      <c r="B9" s="8">
        <v>46266</v>
      </c>
      <c r="C9" s="8">
        <v>46266</v>
      </c>
      <c r="D9" s="22" t="s">
        <v>46</v>
      </c>
      <c r="E9" s="21"/>
      <c r="F9" s="9"/>
      <c r="G9" s="9"/>
      <c r="H9" s="32"/>
      <c r="I9" s="26" t="s">
        <v>32</v>
      </c>
      <c r="J9" s="27" t="s">
        <v>23</v>
      </c>
      <c r="K9" s="26" t="s">
        <v>30</v>
      </c>
      <c r="L9" s="17" t="s">
        <v>47</v>
      </c>
      <c r="M9" s="9" t="s">
        <v>34</v>
      </c>
      <c r="N9" s="9">
        <v>36.4</v>
      </c>
      <c r="O9" s="9">
        <v>15.4</v>
      </c>
      <c r="P9" s="10">
        <f t="shared" si="4"/>
        <v>21</v>
      </c>
      <c r="Q9" s="11">
        <v>0</v>
      </c>
      <c r="R9" s="12">
        <f t="shared" si="0"/>
        <v>0</v>
      </c>
      <c r="S9" s="11"/>
      <c r="T9" s="13"/>
      <c r="V9" s="19" t="s">
        <v>24</v>
      </c>
      <c r="W9" s="11"/>
      <c r="X9" s="14">
        <f t="shared" si="1"/>
        <v>0</v>
      </c>
      <c r="Y9" s="15"/>
      <c r="Z9" s="15">
        <f t="shared" si="2"/>
        <v>0</v>
      </c>
      <c r="AA9" s="13">
        <f t="shared" si="3"/>
        <v>0</v>
      </c>
    </row>
    <row r="10" spans="1:28" s="16" customFormat="1" x14ac:dyDescent="0.3">
      <c r="A10" s="18">
        <v>9</v>
      </c>
      <c r="B10" s="8">
        <v>46266</v>
      </c>
      <c r="C10" s="8">
        <v>46266</v>
      </c>
      <c r="D10" s="22" t="s">
        <v>48</v>
      </c>
      <c r="E10" s="21"/>
      <c r="F10" s="9"/>
      <c r="G10" s="9"/>
      <c r="H10" s="33"/>
      <c r="I10" s="26" t="s">
        <v>32</v>
      </c>
      <c r="J10" s="27" t="s">
        <v>23</v>
      </c>
      <c r="K10" s="26" t="s">
        <v>30</v>
      </c>
      <c r="L10" s="17" t="s">
        <v>49</v>
      </c>
      <c r="M10" s="9" t="s">
        <v>34</v>
      </c>
      <c r="N10" s="9">
        <v>37.82</v>
      </c>
      <c r="O10" s="9">
        <v>13.7</v>
      </c>
      <c r="P10" s="10">
        <f t="shared" si="4"/>
        <v>24.12</v>
      </c>
      <c r="Q10" s="11">
        <v>0</v>
      </c>
      <c r="R10" s="12">
        <f t="shared" si="0"/>
        <v>0</v>
      </c>
      <c r="S10" s="11"/>
      <c r="T10" s="13"/>
      <c r="V10" s="19" t="s">
        <v>24</v>
      </c>
      <c r="W10" s="11"/>
      <c r="X10" s="14">
        <f t="shared" si="1"/>
        <v>0</v>
      </c>
      <c r="Y10" s="15"/>
      <c r="Z10" s="15">
        <f t="shared" si="2"/>
        <v>0</v>
      </c>
      <c r="AA10" s="13">
        <f t="shared" si="3"/>
        <v>0</v>
      </c>
    </row>
    <row r="11" spans="1:28" s="16" customFormat="1" x14ac:dyDescent="0.3">
      <c r="A11" s="18">
        <v>10</v>
      </c>
      <c r="B11" s="8">
        <v>46266</v>
      </c>
      <c r="C11" s="8">
        <v>46266</v>
      </c>
      <c r="D11" s="22" t="s">
        <v>50</v>
      </c>
      <c r="E11" s="21"/>
      <c r="F11" s="9"/>
      <c r="G11" s="9"/>
      <c r="H11" s="33"/>
      <c r="I11" s="26" t="s">
        <v>32</v>
      </c>
      <c r="J11" s="27" t="s">
        <v>23</v>
      </c>
      <c r="K11" s="26" t="s">
        <v>30</v>
      </c>
      <c r="L11" s="17" t="s">
        <v>49</v>
      </c>
      <c r="M11" s="9" t="s">
        <v>34</v>
      </c>
      <c r="N11" s="9">
        <v>36.799999999999997</v>
      </c>
      <c r="O11" s="9">
        <v>14.12</v>
      </c>
      <c r="P11" s="10">
        <f t="shared" si="4"/>
        <v>22.68</v>
      </c>
      <c r="Q11" s="11">
        <v>0</v>
      </c>
      <c r="R11" s="12">
        <f t="shared" si="0"/>
        <v>0</v>
      </c>
      <c r="S11" s="11"/>
      <c r="T11" s="13"/>
      <c r="V11" s="19" t="s">
        <v>24</v>
      </c>
      <c r="W11" s="11"/>
      <c r="X11" s="14">
        <f t="shared" si="1"/>
        <v>0</v>
      </c>
      <c r="Y11" s="15"/>
      <c r="Z11" s="15">
        <f t="shared" si="2"/>
        <v>0</v>
      </c>
      <c r="AA11" s="13">
        <f t="shared" si="3"/>
        <v>0</v>
      </c>
    </row>
    <row r="12" spans="1:28" s="16" customFormat="1" x14ac:dyDescent="0.3">
      <c r="A12" s="18">
        <v>11</v>
      </c>
      <c r="B12" s="8">
        <v>46266</v>
      </c>
      <c r="C12" s="8">
        <v>46266</v>
      </c>
      <c r="D12" s="22" t="s">
        <v>51</v>
      </c>
      <c r="E12" s="21"/>
      <c r="F12" s="9"/>
      <c r="G12" s="9"/>
      <c r="H12" s="34">
        <v>285</v>
      </c>
      <c r="I12" s="35" t="s">
        <v>52</v>
      </c>
      <c r="J12" s="36" t="s">
        <v>23</v>
      </c>
      <c r="K12" s="26" t="s">
        <v>30</v>
      </c>
      <c r="L12" s="17" t="s">
        <v>53</v>
      </c>
      <c r="M12" s="9" t="s">
        <v>31</v>
      </c>
      <c r="N12" s="9">
        <v>44.3</v>
      </c>
      <c r="O12" s="9">
        <v>11.38</v>
      </c>
      <c r="P12" s="10">
        <f t="shared" si="4"/>
        <v>32.919999999999995</v>
      </c>
      <c r="Q12" s="11">
        <v>500</v>
      </c>
      <c r="R12" s="12">
        <f t="shared" si="0"/>
        <v>16459.999999999996</v>
      </c>
      <c r="S12" s="11"/>
      <c r="T12" s="13"/>
      <c r="V12" s="19" t="s">
        <v>54</v>
      </c>
      <c r="W12" s="11"/>
      <c r="X12" s="14">
        <f t="shared" si="1"/>
        <v>0</v>
      </c>
      <c r="Y12" s="15"/>
      <c r="Z12" s="15">
        <f t="shared" si="2"/>
        <v>0</v>
      </c>
      <c r="AA12" s="13">
        <f t="shared" si="3"/>
        <v>16459.999999999996</v>
      </c>
    </row>
    <row r="13" spans="1:28" s="16" customFormat="1" x14ac:dyDescent="0.3">
      <c r="A13" s="18">
        <v>12</v>
      </c>
      <c r="B13" s="8">
        <v>46266</v>
      </c>
      <c r="C13" s="8">
        <v>46266</v>
      </c>
      <c r="D13" s="20" t="s">
        <v>55</v>
      </c>
      <c r="E13" s="21"/>
      <c r="F13" s="9"/>
      <c r="G13" s="21"/>
      <c r="H13" s="34">
        <v>285</v>
      </c>
      <c r="I13" s="35" t="s">
        <v>52</v>
      </c>
      <c r="J13" s="27" t="s">
        <v>23</v>
      </c>
      <c r="K13" s="26" t="s">
        <v>30</v>
      </c>
      <c r="L13" s="17" t="s">
        <v>56</v>
      </c>
      <c r="M13" s="9" t="s">
        <v>31</v>
      </c>
      <c r="N13" s="9">
        <v>58.46</v>
      </c>
      <c r="O13" s="9">
        <v>13.9</v>
      </c>
      <c r="P13" s="10">
        <f t="shared" si="4"/>
        <v>44.56</v>
      </c>
      <c r="Q13" s="11">
        <v>500</v>
      </c>
      <c r="R13" s="12">
        <f t="shared" si="0"/>
        <v>22280</v>
      </c>
      <c r="S13" s="11"/>
      <c r="T13" s="13"/>
      <c r="V13" s="19" t="s">
        <v>54</v>
      </c>
      <c r="W13" s="11"/>
      <c r="X13" s="14">
        <f t="shared" si="1"/>
        <v>0</v>
      </c>
      <c r="Y13" s="15"/>
      <c r="Z13" s="15">
        <f t="shared" si="2"/>
        <v>0</v>
      </c>
      <c r="AA13" s="13">
        <f t="shared" si="3"/>
        <v>22280</v>
      </c>
    </row>
    <row r="14" spans="1:28" s="16" customFormat="1" x14ac:dyDescent="0.3">
      <c r="A14" s="18">
        <v>13</v>
      </c>
      <c r="B14" s="8">
        <v>46266</v>
      </c>
      <c r="C14" s="8">
        <v>46266</v>
      </c>
      <c r="D14" s="22" t="s">
        <v>57</v>
      </c>
      <c r="E14" s="21"/>
      <c r="F14" s="9"/>
      <c r="G14" s="9"/>
      <c r="H14" s="34">
        <v>285</v>
      </c>
      <c r="I14" s="35" t="s">
        <v>52</v>
      </c>
      <c r="J14" s="27" t="s">
        <v>23</v>
      </c>
      <c r="K14" s="26" t="s">
        <v>30</v>
      </c>
      <c r="L14" s="17" t="s">
        <v>58</v>
      </c>
      <c r="M14" s="9" t="s">
        <v>31</v>
      </c>
      <c r="N14" s="9">
        <v>44.54</v>
      </c>
      <c r="O14" s="9">
        <v>11.52</v>
      </c>
      <c r="P14" s="10">
        <f t="shared" si="4"/>
        <v>33.019999999999996</v>
      </c>
      <c r="Q14" s="11">
        <v>500</v>
      </c>
      <c r="R14" s="12">
        <f t="shared" si="0"/>
        <v>16509.999999999996</v>
      </c>
      <c r="S14" s="11"/>
      <c r="T14" s="13"/>
      <c r="V14" s="19" t="s">
        <v>54</v>
      </c>
      <c r="W14" s="11"/>
      <c r="X14" s="14">
        <f t="shared" si="1"/>
        <v>0</v>
      </c>
      <c r="Y14" s="15"/>
      <c r="Z14" s="15">
        <f t="shared" si="2"/>
        <v>0</v>
      </c>
      <c r="AA14" s="13">
        <f t="shared" si="3"/>
        <v>16509.999999999996</v>
      </c>
    </row>
    <row r="15" spans="1:28" s="16" customFormat="1" x14ac:dyDescent="0.3">
      <c r="A15" s="18">
        <v>14</v>
      </c>
      <c r="B15" s="8">
        <v>46266</v>
      </c>
      <c r="C15" s="8">
        <v>46266</v>
      </c>
      <c r="D15" s="23" t="s">
        <v>59</v>
      </c>
      <c r="E15" s="21"/>
      <c r="F15" s="9"/>
      <c r="G15" s="9"/>
      <c r="H15" s="32"/>
      <c r="I15" s="26" t="s">
        <v>60</v>
      </c>
      <c r="J15" s="27" t="s">
        <v>23</v>
      </c>
      <c r="K15" s="26" t="s">
        <v>30</v>
      </c>
      <c r="L15" s="17" t="s">
        <v>61</v>
      </c>
      <c r="M15" s="9" t="s">
        <v>34</v>
      </c>
      <c r="N15" s="9">
        <v>46.12</v>
      </c>
      <c r="O15" s="9">
        <v>11.8</v>
      </c>
      <c r="P15" s="10">
        <f t="shared" si="4"/>
        <v>34.319999999999993</v>
      </c>
      <c r="Q15" s="11">
        <v>120</v>
      </c>
      <c r="R15" s="12">
        <f t="shared" si="0"/>
        <v>4118.3999999999996</v>
      </c>
      <c r="S15" s="11"/>
      <c r="T15" s="13"/>
      <c r="V15" s="19" t="s">
        <v>62</v>
      </c>
      <c r="W15" s="11"/>
      <c r="X15" s="14">
        <f t="shared" si="1"/>
        <v>0</v>
      </c>
      <c r="Y15" s="15"/>
      <c r="Z15" s="15">
        <f t="shared" si="2"/>
        <v>0</v>
      </c>
      <c r="AA15" s="13">
        <f t="shared" si="3"/>
        <v>4118.3999999999996</v>
      </c>
    </row>
    <row r="16" spans="1:28" s="16" customFormat="1" x14ac:dyDescent="0.3">
      <c r="A16" s="18">
        <v>15</v>
      </c>
      <c r="B16" s="8">
        <v>46266</v>
      </c>
      <c r="C16" s="8">
        <v>46266</v>
      </c>
      <c r="D16" s="22" t="s">
        <v>63</v>
      </c>
      <c r="E16" s="21"/>
      <c r="F16" s="9"/>
      <c r="G16" s="9"/>
      <c r="H16" s="32"/>
      <c r="I16" s="26" t="s">
        <v>60</v>
      </c>
      <c r="J16" s="27" t="s">
        <v>23</v>
      </c>
      <c r="K16" s="26" t="s">
        <v>30</v>
      </c>
      <c r="L16" s="17" t="s">
        <v>61</v>
      </c>
      <c r="M16" s="9" t="s">
        <v>34</v>
      </c>
      <c r="N16" s="9">
        <v>46.96</v>
      </c>
      <c r="O16" s="9">
        <v>11.86</v>
      </c>
      <c r="P16" s="10">
        <f t="shared" si="4"/>
        <v>35.1</v>
      </c>
      <c r="Q16" s="11">
        <v>120</v>
      </c>
      <c r="R16" s="12">
        <f t="shared" si="0"/>
        <v>4212</v>
      </c>
      <c r="S16" s="11"/>
      <c r="T16" s="13"/>
      <c r="V16" s="19" t="s">
        <v>62</v>
      </c>
      <c r="W16" s="11"/>
      <c r="X16" s="14">
        <f t="shared" si="1"/>
        <v>0</v>
      </c>
      <c r="Y16" s="15"/>
      <c r="Z16" s="15">
        <f t="shared" si="2"/>
        <v>0</v>
      </c>
      <c r="AA16" s="13">
        <f t="shared" si="3"/>
        <v>4212</v>
      </c>
    </row>
    <row r="17" spans="1:28" s="16" customFormat="1" x14ac:dyDescent="0.3">
      <c r="A17" s="18">
        <v>16</v>
      </c>
      <c r="B17" s="8">
        <v>46266</v>
      </c>
      <c r="C17" s="8">
        <v>46266</v>
      </c>
      <c r="D17" s="22" t="s">
        <v>64</v>
      </c>
      <c r="E17" s="21"/>
      <c r="F17" s="9"/>
      <c r="G17" s="9"/>
      <c r="H17" s="32"/>
      <c r="I17" s="26" t="s">
        <v>32</v>
      </c>
      <c r="J17" s="27" t="s">
        <v>23</v>
      </c>
      <c r="K17" s="26" t="s">
        <v>30</v>
      </c>
      <c r="L17" s="17" t="s">
        <v>41</v>
      </c>
      <c r="M17" s="9" t="s">
        <v>34</v>
      </c>
      <c r="N17" s="9">
        <v>26.72</v>
      </c>
      <c r="O17" s="9">
        <v>14.7</v>
      </c>
      <c r="P17" s="10">
        <f t="shared" si="4"/>
        <v>12.02</v>
      </c>
      <c r="Q17" s="11">
        <v>0</v>
      </c>
      <c r="R17" s="12">
        <f t="shared" si="0"/>
        <v>0</v>
      </c>
      <c r="S17" s="11"/>
      <c r="T17" s="13"/>
      <c r="V17" s="19" t="s">
        <v>24</v>
      </c>
      <c r="W17" s="11"/>
      <c r="X17" s="14">
        <f t="shared" si="1"/>
        <v>0</v>
      </c>
      <c r="Y17" s="15"/>
      <c r="Z17" s="15">
        <f t="shared" si="2"/>
        <v>0</v>
      </c>
      <c r="AA17" s="13">
        <f t="shared" si="3"/>
        <v>0</v>
      </c>
    </row>
    <row r="18" spans="1:28" s="16" customFormat="1" x14ac:dyDescent="0.3">
      <c r="A18" s="18">
        <v>17</v>
      </c>
      <c r="B18" s="8">
        <v>46266</v>
      </c>
      <c r="C18" s="8">
        <v>46266</v>
      </c>
      <c r="D18" s="22" t="s">
        <v>65</v>
      </c>
      <c r="E18" s="21"/>
      <c r="F18" s="9"/>
      <c r="G18" s="9"/>
      <c r="H18" s="32"/>
      <c r="I18" s="26" t="s">
        <v>32</v>
      </c>
      <c r="J18" s="27" t="s">
        <v>23</v>
      </c>
      <c r="K18" s="26" t="s">
        <v>30</v>
      </c>
      <c r="L18" s="17" t="s">
        <v>33</v>
      </c>
      <c r="M18" s="9" t="s">
        <v>34</v>
      </c>
      <c r="N18" s="9">
        <v>25.54</v>
      </c>
      <c r="O18" s="9">
        <v>14.06</v>
      </c>
      <c r="P18" s="10">
        <f t="shared" si="4"/>
        <v>11.479999999999999</v>
      </c>
      <c r="Q18" s="11">
        <v>0</v>
      </c>
      <c r="R18" s="12">
        <f t="shared" si="0"/>
        <v>0</v>
      </c>
      <c r="S18" s="11"/>
      <c r="T18" s="13"/>
      <c r="V18" s="19" t="s">
        <v>24</v>
      </c>
      <c r="W18" s="11"/>
      <c r="X18" s="14">
        <f t="shared" si="1"/>
        <v>0</v>
      </c>
      <c r="Y18" s="15"/>
      <c r="Z18" s="15">
        <f t="shared" si="2"/>
        <v>0</v>
      </c>
      <c r="AA18" s="13">
        <f t="shared" si="3"/>
        <v>0</v>
      </c>
    </row>
    <row r="19" spans="1:28" s="16" customFormat="1" x14ac:dyDescent="0.3">
      <c r="A19" s="18">
        <v>18</v>
      </c>
      <c r="B19" s="8">
        <v>46266</v>
      </c>
      <c r="C19" s="8">
        <v>46266</v>
      </c>
      <c r="D19" s="22" t="s">
        <v>66</v>
      </c>
      <c r="E19" s="21"/>
      <c r="F19" s="9"/>
      <c r="G19" s="9"/>
      <c r="H19" s="32"/>
      <c r="I19" s="26" t="s">
        <v>32</v>
      </c>
      <c r="J19" s="27" t="s">
        <v>23</v>
      </c>
      <c r="K19" s="26" t="s">
        <v>30</v>
      </c>
      <c r="L19" s="17" t="s">
        <v>47</v>
      </c>
      <c r="M19" s="9" t="s">
        <v>34</v>
      </c>
      <c r="N19" s="9">
        <v>24.94</v>
      </c>
      <c r="O19" s="9">
        <v>14.74</v>
      </c>
      <c r="P19" s="10">
        <f t="shared" si="4"/>
        <v>10.200000000000001</v>
      </c>
      <c r="Q19" s="11">
        <v>0</v>
      </c>
      <c r="R19" s="12">
        <f t="shared" si="0"/>
        <v>0</v>
      </c>
      <c r="S19" s="11"/>
      <c r="T19" s="13"/>
      <c r="V19" s="19" t="s">
        <v>24</v>
      </c>
      <c r="W19" s="11"/>
      <c r="X19" s="14">
        <f t="shared" si="1"/>
        <v>0</v>
      </c>
      <c r="Y19" s="15"/>
      <c r="Z19" s="15">
        <f t="shared" si="2"/>
        <v>0</v>
      </c>
      <c r="AA19" s="13">
        <f t="shared" si="3"/>
        <v>0</v>
      </c>
    </row>
    <row r="20" spans="1:28" s="16" customFormat="1" x14ac:dyDescent="0.3">
      <c r="A20" s="18">
        <v>19</v>
      </c>
      <c r="B20" s="8">
        <v>46266</v>
      </c>
      <c r="C20" s="8">
        <v>46267</v>
      </c>
      <c r="D20" s="24">
        <v>260902001</v>
      </c>
      <c r="E20" s="21" t="s">
        <v>67</v>
      </c>
      <c r="F20" s="9" t="s">
        <v>68</v>
      </c>
      <c r="G20" s="9"/>
      <c r="H20" s="37">
        <v>136</v>
      </c>
      <c r="I20" s="39" t="s">
        <v>69</v>
      </c>
      <c r="J20" s="36" t="s">
        <v>23</v>
      </c>
      <c r="K20" s="26" t="s">
        <v>30</v>
      </c>
      <c r="L20" s="17" t="s">
        <v>70</v>
      </c>
      <c r="M20" s="9" t="s">
        <v>71</v>
      </c>
      <c r="N20" s="9">
        <v>64.62</v>
      </c>
      <c r="O20" s="9">
        <v>15.64</v>
      </c>
      <c r="P20" s="10">
        <f t="shared" si="4"/>
        <v>48.980000000000004</v>
      </c>
      <c r="Q20" s="11">
        <v>260</v>
      </c>
      <c r="R20" s="12">
        <f t="shared" si="0"/>
        <v>12734.800000000001</v>
      </c>
      <c r="S20" s="11"/>
      <c r="T20" s="13"/>
      <c r="V20" s="19" t="s">
        <v>24</v>
      </c>
      <c r="W20" s="11"/>
      <c r="X20" s="14">
        <f t="shared" si="1"/>
        <v>0</v>
      </c>
      <c r="Y20" s="15">
        <v>115</v>
      </c>
      <c r="Z20" s="15">
        <f t="shared" si="2"/>
        <v>5632.7000000000007</v>
      </c>
      <c r="AA20" s="13">
        <f t="shared" si="3"/>
        <v>18367.5</v>
      </c>
    </row>
    <row r="21" spans="1:28" s="16" customFormat="1" x14ac:dyDescent="0.3">
      <c r="A21" s="18">
        <v>20</v>
      </c>
      <c r="B21" s="8">
        <v>46266</v>
      </c>
      <c r="C21" s="8">
        <v>46267</v>
      </c>
      <c r="D21" s="24">
        <v>260902002</v>
      </c>
      <c r="E21" s="21" t="s">
        <v>72</v>
      </c>
      <c r="F21" s="9" t="s">
        <v>73</v>
      </c>
      <c r="G21" s="9"/>
      <c r="H21" s="37">
        <v>136</v>
      </c>
      <c r="I21" s="39" t="s">
        <v>69</v>
      </c>
      <c r="J21" s="36" t="s">
        <v>23</v>
      </c>
      <c r="K21" s="26" t="s">
        <v>30</v>
      </c>
      <c r="L21" s="17" t="s">
        <v>74</v>
      </c>
      <c r="M21" s="9" t="s">
        <v>71</v>
      </c>
      <c r="N21" s="9">
        <v>61.6</v>
      </c>
      <c r="O21" s="9">
        <v>15.58</v>
      </c>
      <c r="P21" s="10">
        <f t="shared" si="4"/>
        <v>46.02</v>
      </c>
      <c r="Q21" s="11">
        <v>260</v>
      </c>
      <c r="R21" s="12">
        <f t="shared" si="0"/>
        <v>11965.2</v>
      </c>
      <c r="S21" s="11"/>
      <c r="T21" s="13"/>
      <c r="V21" s="19" t="s">
        <v>24</v>
      </c>
      <c r="W21" s="11"/>
      <c r="X21" s="14">
        <f t="shared" si="1"/>
        <v>0</v>
      </c>
      <c r="Y21" s="15">
        <v>115</v>
      </c>
      <c r="Z21" s="15">
        <f t="shared" si="2"/>
        <v>5292.3</v>
      </c>
      <c r="AA21" s="13">
        <f t="shared" si="3"/>
        <v>17257.5</v>
      </c>
    </row>
    <row r="22" spans="1:28" s="16" customFormat="1" x14ac:dyDescent="0.3">
      <c r="A22" s="18">
        <v>21</v>
      </c>
      <c r="B22" s="8">
        <v>46266</v>
      </c>
      <c r="C22" s="8">
        <v>46267</v>
      </c>
      <c r="D22" s="24" t="s">
        <v>75</v>
      </c>
      <c r="E22" s="21"/>
      <c r="F22" s="9"/>
      <c r="G22" s="9"/>
      <c r="H22" s="34">
        <v>285</v>
      </c>
      <c r="I22" s="35" t="s">
        <v>52</v>
      </c>
      <c r="J22" s="27" t="s">
        <v>23</v>
      </c>
      <c r="K22" s="26" t="s">
        <v>30</v>
      </c>
      <c r="L22" s="17" t="s">
        <v>56</v>
      </c>
      <c r="M22" s="9" t="s">
        <v>31</v>
      </c>
      <c r="N22" s="9">
        <v>56.6</v>
      </c>
      <c r="O22" s="9">
        <v>14.24</v>
      </c>
      <c r="P22" s="10">
        <f t="shared" si="4"/>
        <v>42.36</v>
      </c>
      <c r="Q22" s="11">
        <v>500</v>
      </c>
      <c r="R22" s="12">
        <f t="shared" si="0"/>
        <v>21180</v>
      </c>
      <c r="S22" s="11"/>
      <c r="T22" s="13"/>
      <c r="V22" s="19" t="s">
        <v>54</v>
      </c>
      <c r="W22" s="11"/>
      <c r="X22" s="14">
        <f t="shared" si="1"/>
        <v>0</v>
      </c>
      <c r="Y22" s="15"/>
      <c r="Z22" s="15">
        <f t="shared" si="2"/>
        <v>0</v>
      </c>
      <c r="AA22" s="13">
        <f t="shared" si="3"/>
        <v>21180</v>
      </c>
    </row>
    <row r="23" spans="1:28" s="16" customFormat="1" x14ac:dyDescent="0.3">
      <c r="A23" s="18">
        <v>22</v>
      </c>
      <c r="B23" s="8">
        <v>46266</v>
      </c>
      <c r="C23" s="8">
        <v>46267</v>
      </c>
      <c r="D23" s="24" t="s">
        <v>76</v>
      </c>
      <c r="E23" s="21"/>
      <c r="F23" s="9"/>
      <c r="G23" s="9"/>
      <c r="H23" s="38">
        <v>212</v>
      </c>
      <c r="I23" s="26" t="s">
        <v>77</v>
      </c>
      <c r="J23" s="36" t="s">
        <v>23</v>
      </c>
      <c r="K23" s="26" t="s">
        <v>30</v>
      </c>
      <c r="L23" s="17" t="s">
        <v>78</v>
      </c>
      <c r="M23" s="9" t="s">
        <v>31</v>
      </c>
      <c r="N23" s="9">
        <v>19.34</v>
      </c>
      <c r="O23" s="9">
        <v>7.06</v>
      </c>
      <c r="P23" s="10">
        <f t="shared" si="4"/>
        <v>12.280000000000001</v>
      </c>
      <c r="Q23" s="11">
        <v>550</v>
      </c>
      <c r="R23" s="12">
        <f t="shared" si="0"/>
        <v>6754.0000000000009</v>
      </c>
      <c r="S23" s="11"/>
      <c r="T23" s="13"/>
      <c r="V23" s="19" t="s">
        <v>54</v>
      </c>
      <c r="W23" s="11"/>
      <c r="X23" s="14">
        <f t="shared" si="1"/>
        <v>0</v>
      </c>
      <c r="Y23" s="15"/>
      <c r="Z23" s="15">
        <f t="shared" si="2"/>
        <v>0</v>
      </c>
      <c r="AA23" s="13">
        <f t="shared" si="3"/>
        <v>6754.0000000000009</v>
      </c>
    </row>
    <row r="24" spans="1:28" s="16" customFormat="1" x14ac:dyDescent="0.3">
      <c r="A24" s="18">
        <v>23</v>
      </c>
      <c r="B24" s="8">
        <v>46266</v>
      </c>
      <c r="C24" s="8">
        <v>46267</v>
      </c>
      <c r="D24" s="24" t="s">
        <v>79</v>
      </c>
      <c r="E24" s="21"/>
      <c r="F24" s="9"/>
      <c r="G24" s="9"/>
      <c r="H24" s="34">
        <v>285</v>
      </c>
      <c r="I24" s="35" t="s">
        <v>52</v>
      </c>
      <c r="J24" s="27" t="s">
        <v>23</v>
      </c>
      <c r="K24" s="26" t="s">
        <v>30</v>
      </c>
      <c r="L24" s="17" t="s">
        <v>53</v>
      </c>
      <c r="M24" s="9" t="s">
        <v>31</v>
      </c>
      <c r="N24" s="9">
        <v>43.96</v>
      </c>
      <c r="O24" s="9">
        <v>10.76</v>
      </c>
      <c r="P24" s="10">
        <f t="shared" si="4"/>
        <v>33.200000000000003</v>
      </c>
      <c r="Q24" s="11">
        <v>500</v>
      </c>
      <c r="R24" s="12">
        <f t="shared" si="0"/>
        <v>16600</v>
      </c>
      <c r="S24" s="11"/>
      <c r="T24" s="13"/>
      <c r="V24" s="19" t="s">
        <v>54</v>
      </c>
      <c r="W24" s="11"/>
      <c r="X24" s="14">
        <f t="shared" si="1"/>
        <v>0</v>
      </c>
      <c r="Y24" s="15"/>
      <c r="Z24" s="15">
        <f t="shared" si="2"/>
        <v>0</v>
      </c>
      <c r="AA24" s="13">
        <f t="shared" si="3"/>
        <v>16600</v>
      </c>
    </row>
    <row r="25" spans="1:28" s="16" customFormat="1" x14ac:dyDescent="0.3">
      <c r="A25" s="18">
        <v>24</v>
      </c>
      <c r="B25" s="8">
        <v>46266</v>
      </c>
      <c r="C25" s="8">
        <v>46267</v>
      </c>
      <c r="D25" s="24">
        <v>260902003</v>
      </c>
      <c r="E25" s="21" t="s">
        <v>80</v>
      </c>
      <c r="F25" s="9" t="s">
        <v>81</v>
      </c>
      <c r="G25" s="9"/>
      <c r="H25" s="37">
        <v>136</v>
      </c>
      <c r="I25" s="39" t="s">
        <v>69</v>
      </c>
      <c r="J25" s="36" t="s">
        <v>23</v>
      </c>
      <c r="K25" s="26" t="s">
        <v>30</v>
      </c>
      <c r="L25" s="17" t="s">
        <v>82</v>
      </c>
      <c r="M25" s="9" t="s">
        <v>71</v>
      </c>
      <c r="N25" s="9">
        <v>58.46</v>
      </c>
      <c r="O25" s="9">
        <v>15.44</v>
      </c>
      <c r="P25" s="10">
        <f t="shared" si="4"/>
        <v>43.02</v>
      </c>
      <c r="Q25" s="11">
        <v>260</v>
      </c>
      <c r="R25" s="12">
        <f t="shared" si="0"/>
        <v>11185.2</v>
      </c>
      <c r="S25" s="11"/>
      <c r="T25" s="13"/>
      <c r="V25" s="19" t="s">
        <v>24</v>
      </c>
      <c r="W25" s="11"/>
      <c r="X25" s="14">
        <f t="shared" si="1"/>
        <v>0</v>
      </c>
      <c r="Y25" s="15">
        <v>115</v>
      </c>
      <c r="Z25" s="15">
        <f t="shared" si="2"/>
        <v>4947.3</v>
      </c>
      <c r="AA25" s="13">
        <f t="shared" si="3"/>
        <v>16132.5</v>
      </c>
    </row>
    <row r="26" spans="1:28" s="16" customFormat="1" x14ac:dyDescent="0.3">
      <c r="A26" s="18">
        <v>25</v>
      </c>
      <c r="B26" s="8">
        <v>46266</v>
      </c>
      <c r="C26" s="8">
        <v>46267</v>
      </c>
      <c r="D26" s="24">
        <v>260902004</v>
      </c>
      <c r="E26" s="21" t="s">
        <v>83</v>
      </c>
      <c r="F26" s="9" t="s">
        <v>84</v>
      </c>
      <c r="G26" s="9"/>
      <c r="H26" s="37">
        <v>136</v>
      </c>
      <c r="I26" s="39" t="s">
        <v>69</v>
      </c>
      <c r="J26" s="36" t="s">
        <v>23</v>
      </c>
      <c r="K26" s="26" t="s">
        <v>30</v>
      </c>
      <c r="L26" s="17" t="s">
        <v>85</v>
      </c>
      <c r="M26" s="9" t="s">
        <v>71</v>
      </c>
      <c r="N26" s="9">
        <v>59.12</v>
      </c>
      <c r="O26" s="9">
        <v>14.06</v>
      </c>
      <c r="P26" s="10">
        <f t="shared" si="4"/>
        <v>45.059999999999995</v>
      </c>
      <c r="Q26" s="11">
        <v>260</v>
      </c>
      <c r="R26" s="12">
        <f t="shared" si="0"/>
        <v>11715.599999999999</v>
      </c>
      <c r="S26" s="11"/>
      <c r="T26" s="13"/>
      <c r="V26" s="19" t="s">
        <v>24</v>
      </c>
      <c r="W26" s="11"/>
      <c r="X26" s="14">
        <f t="shared" si="1"/>
        <v>0</v>
      </c>
      <c r="Y26" s="15">
        <v>115</v>
      </c>
      <c r="Z26" s="15">
        <f t="shared" si="2"/>
        <v>5181.8999999999996</v>
      </c>
      <c r="AA26" s="13">
        <f t="shared" si="3"/>
        <v>16897.5</v>
      </c>
    </row>
    <row r="27" spans="1:28" s="16" customFormat="1" x14ac:dyDescent="0.3">
      <c r="A27" s="18">
        <v>26</v>
      </c>
      <c r="B27" s="8">
        <v>46267</v>
      </c>
      <c r="C27" s="8">
        <v>46267</v>
      </c>
      <c r="D27" s="20">
        <v>260902005</v>
      </c>
      <c r="E27" s="21" t="s">
        <v>86</v>
      </c>
      <c r="F27" s="9" t="s">
        <v>87</v>
      </c>
      <c r="G27" s="9"/>
      <c r="H27" s="37">
        <v>136</v>
      </c>
      <c r="I27" s="39" t="s">
        <v>69</v>
      </c>
      <c r="J27" s="36" t="s">
        <v>23</v>
      </c>
      <c r="K27" s="26" t="s">
        <v>30</v>
      </c>
      <c r="L27" s="28" t="s">
        <v>88</v>
      </c>
      <c r="M27" s="9" t="s">
        <v>89</v>
      </c>
      <c r="N27" s="9">
        <v>63.38</v>
      </c>
      <c r="O27" s="9">
        <v>15.46</v>
      </c>
      <c r="P27" s="10">
        <f>N27-O27</f>
        <v>47.92</v>
      </c>
      <c r="Q27" s="11">
        <v>260</v>
      </c>
      <c r="R27" s="12">
        <f t="shared" si="0"/>
        <v>12459.2</v>
      </c>
      <c r="S27" s="11"/>
      <c r="T27" s="13"/>
      <c r="V27" s="19" t="s">
        <v>24</v>
      </c>
      <c r="W27" s="11"/>
      <c r="X27" s="14">
        <f t="shared" ref="X27:X70" si="5">P27*W27</f>
        <v>0</v>
      </c>
      <c r="Y27" s="15">
        <v>115</v>
      </c>
      <c r="Z27" s="15">
        <f t="shared" ref="Z27:Z70" si="6">P27*Y27</f>
        <v>5510.8</v>
      </c>
      <c r="AA27" s="13">
        <f t="shared" ref="AA27:AA70" si="7">R27+X27+Z27</f>
        <v>17970</v>
      </c>
      <c r="AB27" s="29"/>
    </row>
    <row r="28" spans="1:28" s="16" customFormat="1" x14ac:dyDescent="0.3">
      <c r="A28" s="18">
        <v>27</v>
      </c>
      <c r="B28" s="8">
        <v>46267</v>
      </c>
      <c r="C28" s="8">
        <v>46267</v>
      </c>
      <c r="D28" s="20">
        <v>260902006</v>
      </c>
      <c r="E28" s="21" t="s">
        <v>90</v>
      </c>
      <c r="F28" s="9" t="s">
        <v>91</v>
      </c>
      <c r="G28" s="9"/>
      <c r="H28" s="37">
        <v>136</v>
      </c>
      <c r="I28" s="39" t="s">
        <v>69</v>
      </c>
      <c r="J28" s="36" t="s">
        <v>23</v>
      </c>
      <c r="K28" s="26" t="s">
        <v>30</v>
      </c>
      <c r="L28" s="17" t="s">
        <v>56</v>
      </c>
      <c r="M28" s="9" t="s">
        <v>89</v>
      </c>
      <c r="N28" s="9">
        <v>59.98</v>
      </c>
      <c r="O28" s="9">
        <v>14.04</v>
      </c>
      <c r="P28" s="10">
        <f>N28-O28</f>
        <v>45.94</v>
      </c>
      <c r="Q28" s="11">
        <v>260</v>
      </c>
      <c r="R28" s="12">
        <f t="shared" si="0"/>
        <v>11944.4</v>
      </c>
      <c r="S28" s="11"/>
      <c r="T28" s="13"/>
      <c r="V28" s="19" t="s">
        <v>24</v>
      </c>
      <c r="W28" s="11"/>
      <c r="X28" s="14">
        <f t="shared" si="5"/>
        <v>0</v>
      </c>
      <c r="Y28" s="15">
        <v>115</v>
      </c>
      <c r="Z28" s="15">
        <f t="shared" si="6"/>
        <v>5283.0999999999995</v>
      </c>
      <c r="AA28" s="13">
        <f t="shared" si="7"/>
        <v>17227.5</v>
      </c>
    </row>
    <row r="29" spans="1:28" s="28" customFormat="1" x14ac:dyDescent="0.3">
      <c r="A29" s="18">
        <v>28</v>
      </c>
      <c r="B29" s="8">
        <v>46267</v>
      </c>
      <c r="C29" s="8">
        <v>46267</v>
      </c>
      <c r="D29" s="20">
        <v>260902007</v>
      </c>
      <c r="E29" s="21" t="s">
        <v>92</v>
      </c>
      <c r="F29" s="9" t="s">
        <v>93</v>
      </c>
      <c r="G29" s="9"/>
      <c r="H29" s="37">
        <v>136</v>
      </c>
      <c r="I29" s="39" t="s">
        <v>69</v>
      </c>
      <c r="J29" s="36" t="s">
        <v>23</v>
      </c>
      <c r="K29" s="26" t="s">
        <v>30</v>
      </c>
      <c r="L29" s="17" t="s">
        <v>94</v>
      </c>
      <c r="M29" s="9" t="s">
        <v>89</v>
      </c>
      <c r="N29" s="9">
        <v>63.58</v>
      </c>
      <c r="O29" s="9">
        <v>15.44</v>
      </c>
      <c r="P29" s="10">
        <f t="shared" ref="P29:P70" si="8">N29-O29</f>
        <v>48.14</v>
      </c>
      <c r="Q29" s="11">
        <v>260</v>
      </c>
      <c r="R29" s="12">
        <f t="shared" si="0"/>
        <v>12516.4</v>
      </c>
      <c r="S29" s="11"/>
      <c r="T29" s="13"/>
      <c r="V29" s="19" t="s">
        <v>24</v>
      </c>
      <c r="W29" s="11"/>
      <c r="X29" s="14">
        <f t="shared" si="5"/>
        <v>0</v>
      </c>
      <c r="Y29" s="15">
        <v>115</v>
      </c>
      <c r="Z29" s="15">
        <f t="shared" si="6"/>
        <v>5536.1</v>
      </c>
      <c r="AA29" s="13">
        <f t="shared" si="7"/>
        <v>18052.5</v>
      </c>
    </row>
    <row r="30" spans="1:28" s="16" customFormat="1" x14ac:dyDescent="0.3">
      <c r="A30" s="18">
        <v>29</v>
      </c>
      <c r="B30" s="8">
        <v>46267</v>
      </c>
      <c r="C30" s="8">
        <v>46267</v>
      </c>
      <c r="D30" s="20">
        <v>260902008</v>
      </c>
      <c r="E30" s="21" t="s">
        <v>95</v>
      </c>
      <c r="F30" s="9" t="s">
        <v>96</v>
      </c>
      <c r="G30" s="9"/>
      <c r="H30" s="37">
        <v>136</v>
      </c>
      <c r="I30" s="39" t="s">
        <v>69</v>
      </c>
      <c r="J30" s="36" t="s">
        <v>23</v>
      </c>
      <c r="K30" s="26" t="s">
        <v>30</v>
      </c>
      <c r="L30" s="17" t="s">
        <v>97</v>
      </c>
      <c r="M30" s="9" t="s">
        <v>89</v>
      </c>
      <c r="N30" s="9">
        <v>55.56</v>
      </c>
      <c r="O30" s="9">
        <v>13.7</v>
      </c>
      <c r="P30" s="10">
        <f t="shared" si="8"/>
        <v>41.86</v>
      </c>
      <c r="Q30" s="11">
        <v>260</v>
      </c>
      <c r="R30" s="12">
        <f t="shared" si="0"/>
        <v>10883.6</v>
      </c>
      <c r="S30" s="11"/>
      <c r="T30" s="13"/>
      <c r="V30" s="19" t="s">
        <v>24</v>
      </c>
      <c r="W30" s="11"/>
      <c r="X30" s="14">
        <f t="shared" si="5"/>
        <v>0</v>
      </c>
      <c r="Y30" s="15">
        <v>115</v>
      </c>
      <c r="Z30" s="15">
        <f t="shared" si="6"/>
        <v>4813.8999999999996</v>
      </c>
      <c r="AA30" s="13">
        <f t="shared" si="7"/>
        <v>15697.5</v>
      </c>
    </row>
    <row r="31" spans="1:28" s="16" customFormat="1" x14ac:dyDescent="0.3">
      <c r="A31" s="18">
        <v>30</v>
      </c>
      <c r="B31" s="8">
        <v>46267</v>
      </c>
      <c r="C31" s="8">
        <v>46267</v>
      </c>
      <c r="D31" s="20">
        <v>260902009</v>
      </c>
      <c r="E31" s="21" t="s">
        <v>98</v>
      </c>
      <c r="F31" s="9" t="s">
        <v>99</v>
      </c>
      <c r="G31" s="9"/>
      <c r="H31" s="37">
        <v>136</v>
      </c>
      <c r="I31" s="39" t="s">
        <v>69</v>
      </c>
      <c r="J31" s="36" t="s">
        <v>23</v>
      </c>
      <c r="K31" s="26" t="s">
        <v>30</v>
      </c>
      <c r="L31" s="17" t="s">
        <v>100</v>
      </c>
      <c r="M31" s="9" t="s">
        <v>89</v>
      </c>
      <c r="N31" s="9">
        <v>55.28</v>
      </c>
      <c r="O31" s="9">
        <v>13.46</v>
      </c>
      <c r="P31" s="10">
        <f t="shared" si="8"/>
        <v>41.82</v>
      </c>
      <c r="Q31" s="11">
        <v>260</v>
      </c>
      <c r="R31" s="12">
        <f t="shared" si="0"/>
        <v>10873.2</v>
      </c>
      <c r="S31" s="11"/>
      <c r="T31" s="13"/>
      <c r="V31" s="19" t="s">
        <v>24</v>
      </c>
      <c r="W31" s="11"/>
      <c r="X31" s="14">
        <f t="shared" si="5"/>
        <v>0</v>
      </c>
      <c r="Y31" s="15">
        <v>115</v>
      </c>
      <c r="Z31" s="15">
        <f t="shared" si="6"/>
        <v>4809.3</v>
      </c>
      <c r="AA31" s="13">
        <f t="shared" si="7"/>
        <v>15682.5</v>
      </c>
    </row>
    <row r="32" spans="1:28" s="28" customFormat="1" x14ac:dyDescent="0.3">
      <c r="A32" s="18">
        <v>31</v>
      </c>
      <c r="B32" s="8">
        <v>46267</v>
      </c>
      <c r="C32" s="8">
        <v>46267</v>
      </c>
      <c r="D32" s="20">
        <v>260902010</v>
      </c>
      <c r="E32" s="21" t="s">
        <v>101</v>
      </c>
      <c r="F32" s="9" t="s">
        <v>102</v>
      </c>
      <c r="G32" s="9">
        <v>32</v>
      </c>
      <c r="H32" s="41">
        <v>115</v>
      </c>
      <c r="I32" s="26" t="s">
        <v>103</v>
      </c>
      <c r="J32" s="36" t="s">
        <v>23</v>
      </c>
      <c r="K32" s="42" t="s">
        <v>30</v>
      </c>
      <c r="L32" s="17" t="s">
        <v>104</v>
      </c>
      <c r="M32" s="9" t="s">
        <v>31</v>
      </c>
      <c r="N32" s="9">
        <v>44.46</v>
      </c>
      <c r="O32" s="9">
        <v>11.68</v>
      </c>
      <c r="P32" s="10">
        <f t="shared" si="8"/>
        <v>32.78</v>
      </c>
      <c r="Q32" s="11">
        <v>545</v>
      </c>
      <c r="R32" s="12">
        <f t="shared" si="0"/>
        <v>17865.100000000002</v>
      </c>
      <c r="S32" s="11"/>
      <c r="T32" s="13"/>
      <c r="V32" s="19" t="s">
        <v>24</v>
      </c>
      <c r="W32" s="11">
        <v>145</v>
      </c>
      <c r="X32" s="14">
        <f t="shared" si="5"/>
        <v>4753.1000000000004</v>
      </c>
      <c r="Y32" s="15">
        <v>260</v>
      </c>
      <c r="Z32" s="15">
        <f t="shared" si="6"/>
        <v>8522.8000000000011</v>
      </c>
      <c r="AA32" s="13">
        <f t="shared" si="7"/>
        <v>31141.000000000007</v>
      </c>
    </row>
    <row r="33" spans="1:27" s="16" customFormat="1" x14ac:dyDescent="0.3">
      <c r="A33" s="18">
        <v>32</v>
      </c>
      <c r="B33" s="8">
        <v>46267</v>
      </c>
      <c r="C33" s="8">
        <v>46267</v>
      </c>
      <c r="D33" s="20">
        <v>260902011</v>
      </c>
      <c r="E33" s="21" t="s">
        <v>105</v>
      </c>
      <c r="F33" s="9" t="s">
        <v>106</v>
      </c>
      <c r="G33" s="9">
        <v>35</v>
      </c>
      <c r="H33" s="41">
        <v>115</v>
      </c>
      <c r="I33" s="26" t="s">
        <v>103</v>
      </c>
      <c r="J33" s="36" t="s">
        <v>23</v>
      </c>
      <c r="K33" s="42" t="s">
        <v>30</v>
      </c>
      <c r="L33" s="17" t="s">
        <v>107</v>
      </c>
      <c r="M33" s="9" t="s">
        <v>108</v>
      </c>
      <c r="N33" s="9">
        <v>47.02</v>
      </c>
      <c r="O33" s="9">
        <v>11.96</v>
      </c>
      <c r="P33" s="10">
        <f t="shared" si="8"/>
        <v>35.06</v>
      </c>
      <c r="Q33" s="11">
        <v>315</v>
      </c>
      <c r="R33" s="12">
        <f t="shared" si="0"/>
        <v>11043.900000000001</v>
      </c>
      <c r="S33" s="11"/>
      <c r="T33" s="13"/>
      <c r="V33" s="19" t="s">
        <v>24</v>
      </c>
      <c r="W33" s="11">
        <v>145</v>
      </c>
      <c r="X33" s="14">
        <f t="shared" si="5"/>
        <v>5083.7000000000007</v>
      </c>
      <c r="Y33" s="15">
        <v>260</v>
      </c>
      <c r="Z33" s="15">
        <f t="shared" si="6"/>
        <v>9115.6</v>
      </c>
      <c r="AA33" s="13">
        <f t="shared" si="7"/>
        <v>25243.200000000004</v>
      </c>
    </row>
    <row r="34" spans="1:27" s="16" customFormat="1" x14ac:dyDescent="0.3">
      <c r="A34" s="18">
        <v>33</v>
      </c>
      <c r="B34" s="8">
        <v>46267</v>
      </c>
      <c r="C34" s="8">
        <v>46267</v>
      </c>
      <c r="D34" s="20">
        <v>260902012</v>
      </c>
      <c r="E34" s="21" t="s">
        <v>109</v>
      </c>
      <c r="F34" s="9" t="s">
        <v>110</v>
      </c>
      <c r="G34" s="9">
        <v>32</v>
      </c>
      <c r="H34" s="41">
        <v>115</v>
      </c>
      <c r="I34" s="26" t="s">
        <v>103</v>
      </c>
      <c r="J34" s="36" t="s">
        <v>23</v>
      </c>
      <c r="K34" s="42" t="s">
        <v>30</v>
      </c>
      <c r="L34" s="17" t="s">
        <v>111</v>
      </c>
      <c r="M34" s="9" t="s">
        <v>31</v>
      </c>
      <c r="N34" s="9">
        <v>44.54</v>
      </c>
      <c r="O34" s="9">
        <v>11.56</v>
      </c>
      <c r="P34" s="10">
        <f t="shared" si="8"/>
        <v>32.979999999999997</v>
      </c>
      <c r="Q34" s="11">
        <v>545</v>
      </c>
      <c r="R34" s="12">
        <f t="shared" si="0"/>
        <v>17974.099999999999</v>
      </c>
      <c r="S34" s="11"/>
      <c r="T34" s="13"/>
      <c r="V34" s="19" t="s">
        <v>24</v>
      </c>
      <c r="W34" s="11">
        <v>145</v>
      </c>
      <c r="X34" s="14">
        <f t="shared" si="5"/>
        <v>4782.0999999999995</v>
      </c>
      <c r="Y34" s="15">
        <v>260</v>
      </c>
      <c r="Z34" s="15">
        <f t="shared" si="6"/>
        <v>8574.7999999999993</v>
      </c>
      <c r="AA34" s="13">
        <f t="shared" si="7"/>
        <v>31330.999999999996</v>
      </c>
    </row>
    <row r="35" spans="1:27" s="16" customFormat="1" x14ac:dyDescent="0.3">
      <c r="A35" s="18">
        <v>34</v>
      </c>
      <c r="B35" s="8">
        <v>46267</v>
      </c>
      <c r="C35" s="8">
        <v>46267</v>
      </c>
      <c r="D35" s="20">
        <v>260902013</v>
      </c>
      <c r="E35" s="21" t="s">
        <v>112</v>
      </c>
      <c r="F35" s="9" t="s">
        <v>113</v>
      </c>
      <c r="G35" s="9">
        <v>42</v>
      </c>
      <c r="H35" s="41">
        <v>115</v>
      </c>
      <c r="I35" s="26" t="s">
        <v>103</v>
      </c>
      <c r="J35" s="36" t="s">
        <v>23</v>
      </c>
      <c r="K35" s="42" t="s">
        <v>30</v>
      </c>
      <c r="L35" s="17" t="s">
        <v>114</v>
      </c>
      <c r="M35" s="9" t="s">
        <v>108</v>
      </c>
      <c r="N35" s="9">
        <v>59.1</v>
      </c>
      <c r="O35" s="9">
        <v>16.12</v>
      </c>
      <c r="P35" s="10">
        <f t="shared" si="8"/>
        <v>42.980000000000004</v>
      </c>
      <c r="Q35" s="11">
        <v>315</v>
      </c>
      <c r="R35" s="12">
        <f t="shared" si="0"/>
        <v>13538.7</v>
      </c>
      <c r="S35" s="11"/>
      <c r="T35" s="13"/>
      <c r="V35" s="19" t="s">
        <v>24</v>
      </c>
      <c r="W35" s="11">
        <v>145</v>
      </c>
      <c r="X35" s="14">
        <f t="shared" si="5"/>
        <v>6232.1</v>
      </c>
      <c r="Y35" s="15">
        <v>260</v>
      </c>
      <c r="Z35" s="15">
        <f t="shared" si="6"/>
        <v>11174.800000000001</v>
      </c>
      <c r="AA35" s="13">
        <f t="shared" si="7"/>
        <v>30945.600000000006</v>
      </c>
    </row>
    <row r="36" spans="1:27" s="16" customFormat="1" x14ac:dyDescent="0.3">
      <c r="A36" s="18">
        <v>35</v>
      </c>
      <c r="B36" s="8">
        <v>46267</v>
      </c>
      <c r="C36" s="8">
        <v>46267</v>
      </c>
      <c r="D36" s="20">
        <v>260902014</v>
      </c>
      <c r="E36" s="21" t="s">
        <v>115</v>
      </c>
      <c r="F36" s="9" t="s">
        <v>116</v>
      </c>
      <c r="G36" s="9"/>
      <c r="H36" s="37">
        <v>136</v>
      </c>
      <c r="I36" s="39" t="s">
        <v>69</v>
      </c>
      <c r="J36" s="36" t="s">
        <v>23</v>
      </c>
      <c r="K36" s="26" t="s">
        <v>30</v>
      </c>
      <c r="L36" s="17" t="s">
        <v>88</v>
      </c>
      <c r="M36" s="9" t="s">
        <v>89</v>
      </c>
      <c r="N36" s="9">
        <v>63.86</v>
      </c>
      <c r="O36" s="9">
        <v>15.3</v>
      </c>
      <c r="P36" s="10">
        <f t="shared" si="8"/>
        <v>48.56</v>
      </c>
      <c r="Q36" s="11">
        <v>260</v>
      </c>
      <c r="R36" s="12">
        <f t="shared" si="0"/>
        <v>12625.6</v>
      </c>
      <c r="S36" s="11"/>
      <c r="T36" s="13"/>
      <c r="V36" s="19" t="s">
        <v>24</v>
      </c>
      <c r="W36" s="11"/>
      <c r="X36" s="14">
        <f t="shared" si="5"/>
        <v>0</v>
      </c>
      <c r="Y36" s="15">
        <v>115</v>
      </c>
      <c r="Z36" s="15">
        <f t="shared" si="6"/>
        <v>5584.4000000000005</v>
      </c>
      <c r="AA36" s="13">
        <f t="shared" si="7"/>
        <v>18210</v>
      </c>
    </row>
    <row r="37" spans="1:27" s="16" customFormat="1" x14ac:dyDescent="0.3">
      <c r="A37" s="18">
        <v>36</v>
      </c>
      <c r="B37" s="8">
        <v>46267</v>
      </c>
      <c r="C37" s="8">
        <v>46267</v>
      </c>
      <c r="D37" s="20">
        <v>260902015</v>
      </c>
      <c r="E37" s="21" t="s">
        <v>117</v>
      </c>
      <c r="F37" s="9" t="s">
        <v>118</v>
      </c>
      <c r="G37" s="9"/>
      <c r="H37" s="37">
        <v>136</v>
      </c>
      <c r="I37" s="39" t="s">
        <v>69</v>
      </c>
      <c r="J37" s="36" t="s">
        <v>23</v>
      </c>
      <c r="K37" s="26" t="s">
        <v>30</v>
      </c>
      <c r="L37" s="17" t="s">
        <v>94</v>
      </c>
      <c r="M37" s="9" t="s">
        <v>89</v>
      </c>
      <c r="N37" s="9">
        <v>65.78</v>
      </c>
      <c r="O37" s="9">
        <v>15.28</v>
      </c>
      <c r="P37" s="10">
        <f t="shared" si="8"/>
        <v>50.5</v>
      </c>
      <c r="Q37" s="11">
        <v>260</v>
      </c>
      <c r="R37" s="12">
        <f t="shared" si="0"/>
        <v>13130</v>
      </c>
      <c r="S37" s="11"/>
      <c r="T37" s="13"/>
      <c r="V37" s="19" t="s">
        <v>24</v>
      </c>
      <c r="W37" s="11"/>
      <c r="X37" s="14">
        <f t="shared" si="5"/>
        <v>0</v>
      </c>
      <c r="Y37" s="15">
        <v>115</v>
      </c>
      <c r="Z37" s="15">
        <f t="shared" si="6"/>
        <v>5807.5</v>
      </c>
      <c r="AA37" s="13">
        <f t="shared" si="7"/>
        <v>18937.5</v>
      </c>
    </row>
    <row r="38" spans="1:27" s="16" customFormat="1" x14ac:dyDescent="0.3">
      <c r="A38" s="18">
        <v>37</v>
      </c>
      <c r="B38" s="8">
        <v>46267</v>
      </c>
      <c r="C38" s="8">
        <v>46267</v>
      </c>
      <c r="D38" s="20">
        <v>260902016</v>
      </c>
      <c r="E38" s="21" t="s">
        <v>119</v>
      </c>
      <c r="F38" s="9" t="s">
        <v>120</v>
      </c>
      <c r="G38" s="21"/>
      <c r="H38" s="37">
        <v>136</v>
      </c>
      <c r="I38" s="39" t="s">
        <v>69</v>
      </c>
      <c r="J38" s="36" t="s">
        <v>23</v>
      </c>
      <c r="K38" s="26" t="s">
        <v>30</v>
      </c>
      <c r="L38" s="17" t="s">
        <v>58</v>
      </c>
      <c r="M38" s="9" t="s">
        <v>89</v>
      </c>
      <c r="N38" s="9">
        <v>48.32</v>
      </c>
      <c r="O38" s="9">
        <v>11.44</v>
      </c>
      <c r="P38" s="10">
        <f t="shared" si="8"/>
        <v>36.880000000000003</v>
      </c>
      <c r="Q38" s="11">
        <v>260</v>
      </c>
      <c r="R38" s="12">
        <f t="shared" si="0"/>
        <v>9588.8000000000011</v>
      </c>
      <c r="S38" s="11"/>
      <c r="T38" s="13"/>
      <c r="V38" s="19" t="s">
        <v>24</v>
      </c>
      <c r="W38" s="11"/>
      <c r="X38" s="14">
        <f t="shared" si="5"/>
        <v>0</v>
      </c>
      <c r="Y38" s="15">
        <v>115</v>
      </c>
      <c r="Z38" s="15">
        <f t="shared" si="6"/>
        <v>4241.2000000000007</v>
      </c>
      <c r="AA38" s="13">
        <f t="shared" si="7"/>
        <v>13830.000000000002</v>
      </c>
    </row>
    <row r="39" spans="1:27" s="16" customFormat="1" x14ac:dyDescent="0.3">
      <c r="A39" s="18">
        <v>38</v>
      </c>
      <c r="B39" s="8">
        <v>46267</v>
      </c>
      <c r="C39" s="8">
        <v>46267</v>
      </c>
      <c r="D39" s="20">
        <v>260902017</v>
      </c>
      <c r="E39" s="21" t="s">
        <v>121</v>
      </c>
      <c r="F39" s="9" t="s">
        <v>122</v>
      </c>
      <c r="G39" s="9"/>
      <c r="H39" s="37">
        <v>136</v>
      </c>
      <c r="I39" s="39" t="s">
        <v>69</v>
      </c>
      <c r="J39" s="36" t="s">
        <v>23</v>
      </c>
      <c r="K39" s="26" t="s">
        <v>30</v>
      </c>
      <c r="L39" s="17" t="s">
        <v>123</v>
      </c>
      <c r="M39" s="9" t="s">
        <v>89</v>
      </c>
      <c r="N39" s="9">
        <v>63.02</v>
      </c>
      <c r="O39" s="9">
        <v>15.66</v>
      </c>
      <c r="P39" s="10">
        <f t="shared" si="8"/>
        <v>47.36</v>
      </c>
      <c r="Q39" s="11">
        <v>260</v>
      </c>
      <c r="R39" s="12">
        <f t="shared" si="0"/>
        <v>12313.6</v>
      </c>
      <c r="S39" s="11"/>
      <c r="T39" s="13"/>
      <c r="V39" s="19" t="s">
        <v>24</v>
      </c>
      <c r="W39" s="11"/>
      <c r="X39" s="14">
        <f t="shared" si="5"/>
        <v>0</v>
      </c>
      <c r="Y39" s="15">
        <v>115</v>
      </c>
      <c r="Z39" s="15">
        <f t="shared" si="6"/>
        <v>5446.4</v>
      </c>
      <c r="AA39" s="13">
        <f t="shared" si="7"/>
        <v>17760</v>
      </c>
    </row>
    <row r="40" spans="1:27" s="16" customFormat="1" x14ac:dyDescent="0.3">
      <c r="A40" s="18">
        <v>39</v>
      </c>
      <c r="B40" s="8">
        <v>46267</v>
      </c>
      <c r="C40" s="8">
        <v>46267</v>
      </c>
      <c r="D40" s="20">
        <v>260902018</v>
      </c>
      <c r="E40" s="21" t="s">
        <v>124</v>
      </c>
      <c r="F40" s="9" t="s">
        <v>125</v>
      </c>
      <c r="G40" s="9"/>
      <c r="H40" s="37">
        <v>136</v>
      </c>
      <c r="I40" s="39" t="s">
        <v>69</v>
      </c>
      <c r="J40" s="36" t="s">
        <v>23</v>
      </c>
      <c r="K40" s="26" t="s">
        <v>30</v>
      </c>
      <c r="L40" s="17" t="s">
        <v>56</v>
      </c>
      <c r="M40" s="9" t="s">
        <v>89</v>
      </c>
      <c r="N40" s="9">
        <v>56.1</v>
      </c>
      <c r="O40" s="9">
        <v>13.98</v>
      </c>
      <c r="P40" s="10">
        <f t="shared" si="8"/>
        <v>42.120000000000005</v>
      </c>
      <c r="Q40" s="11">
        <v>260</v>
      </c>
      <c r="R40" s="12">
        <f t="shared" si="0"/>
        <v>10951.2</v>
      </c>
      <c r="S40" s="11"/>
      <c r="T40" s="13"/>
      <c r="V40" s="19" t="s">
        <v>24</v>
      </c>
      <c r="W40" s="11"/>
      <c r="X40" s="14">
        <f t="shared" si="5"/>
        <v>0</v>
      </c>
      <c r="Y40" s="15">
        <v>115</v>
      </c>
      <c r="Z40" s="15">
        <f t="shared" si="6"/>
        <v>4843.8</v>
      </c>
      <c r="AA40" s="13">
        <f t="shared" si="7"/>
        <v>15795</v>
      </c>
    </row>
    <row r="41" spans="1:27" s="16" customFormat="1" x14ac:dyDescent="0.3">
      <c r="A41" s="18">
        <v>40</v>
      </c>
      <c r="B41" s="8">
        <v>46267</v>
      </c>
      <c r="C41" s="8">
        <v>46267</v>
      </c>
      <c r="D41" s="20">
        <v>260902019</v>
      </c>
      <c r="E41" s="21" t="s">
        <v>126</v>
      </c>
      <c r="F41" s="9" t="s">
        <v>127</v>
      </c>
      <c r="G41" s="9"/>
      <c r="H41" s="37">
        <v>136</v>
      </c>
      <c r="I41" s="39" t="s">
        <v>69</v>
      </c>
      <c r="J41" s="36" t="s">
        <v>23</v>
      </c>
      <c r="K41" s="26" t="s">
        <v>30</v>
      </c>
      <c r="L41" s="17" t="s">
        <v>74</v>
      </c>
      <c r="M41" s="9" t="s">
        <v>89</v>
      </c>
      <c r="N41" s="9">
        <v>62.8</v>
      </c>
      <c r="O41" s="9">
        <v>15.42</v>
      </c>
      <c r="P41" s="10">
        <f t="shared" si="8"/>
        <v>47.379999999999995</v>
      </c>
      <c r="Q41" s="11">
        <v>260</v>
      </c>
      <c r="R41" s="12">
        <f t="shared" si="0"/>
        <v>12318.8</v>
      </c>
      <c r="S41" s="11"/>
      <c r="T41" s="13"/>
      <c r="V41" s="19" t="s">
        <v>24</v>
      </c>
      <c r="W41" s="11"/>
      <c r="X41" s="14">
        <f t="shared" si="5"/>
        <v>0</v>
      </c>
      <c r="Y41" s="15">
        <v>115</v>
      </c>
      <c r="Z41" s="15">
        <f t="shared" si="6"/>
        <v>5448.7</v>
      </c>
      <c r="AA41" s="13">
        <f t="shared" si="7"/>
        <v>17767.5</v>
      </c>
    </row>
    <row r="42" spans="1:27" s="16" customFormat="1" x14ac:dyDescent="0.3">
      <c r="A42" s="18">
        <v>41</v>
      </c>
      <c r="B42" s="8">
        <v>46267</v>
      </c>
      <c r="C42" s="8">
        <v>46267</v>
      </c>
      <c r="D42" s="20">
        <v>260902020</v>
      </c>
      <c r="E42" s="21" t="s">
        <v>128</v>
      </c>
      <c r="F42" s="9" t="s">
        <v>129</v>
      </c>
      <c r="G42" s="9"/>
      <c r="H42" s="37">
        <v>136</v>
      </c>
      <c r="I42" s="39" t="s">
        <v>69</v>
      </c>
      <c r="J42" s="36" t="s">
        <v>23</v>
      </c>
      <c r="K42" s="26" t="s">
        <v>30</v>
      </c>
      <c r="L42" s="17" t="s">
        <v>97</v>
      </c>
      <c r="M42" s="9" t="s">
        <v>89</v>
      </c>
      <c r="N42" s="9">
        <v>58.82</v>
      </c>
      <c r="O42" s="9">
        <v>13.82</v>
      </c>
      <c r="P42" s="10">
        <f t="shared" si="8"/>
        <v>45</v>
      </c>
      <c r="Q42" s="11">
        <v>260</v>
      </c>
      <c r="R42" s="12">
        <f t="shared" si="0"/>
        <v>11700</v>
      </c>
      <c r="S42" s="11"/>
      <c r="T42" s="13"/>
      <c r="V42" s="19" t="s">
        <v>24</v>
      </c>
      <c r="W42" s="11"/>
      <c r="X42" s="14">
        <f t="shared" si="5"/>
        <v>0</v>
      </c>
      <c r="Y42" s="15">
        <v>115</v>
      </c>
      <c r="Z42" s="15">
        <f t="shared" si="6"/>
        <v>5175</v>
      </c>
      <c r="AA42" s="13">
        <f t="shared" si="7"/>
        <v>16875</v>
      </c>
    </row>
    <row r="43" spans="1:27" s="16" customFormat="1" x14ac:dyDescent="0.3">
      <c r="A43" s="18">
        <v>42</v>
      </c>
      <c r="B43" s="8">
        <v>46267</v>
      </c>
      <c r="C43" s="8">
        <v>46267</v>
      </c>
      <c r="D43" s="20">
        <v>260902021</v>
      </c>
      <c r="E43" s="21" t="s">
        <v>130</v>
      </c>
      <c r="F43" s="9" t="s">
        <v>131</v>
      </c>
      <c r="G43" s="9"/>
      <c r="H43" s="37">
        <v>136</v>
      </c>
      <c r="I43" s="39" t="s">
        <v>69</v>
      </c>
      <c r="J43" s="36" t="s">
        <v>23</v>
      </c>
      <c r="K43" s="26" t="s">
        <v>30</v>
      </c>
      <c r="L43" s="17" t="s">
        <v>132</v>
      </c>
      <c r="M43" s="9" t="s">
        <v>89</v>
      </c>
      <c r="N43" s="9">
        <v>63.36</v>
      </c>
      <c r="O43" s="9">
        <v>15.62</v>
      </c>
      <c r="P43" s="10">
        <f t="shared" si="8"/>
        <v>47.74</v>
      </c>
      <c r="Q43" s="11">
        <v>260</v>
      </c>
      <c r="R43" s="12">
        <f t="shared" si="0"/>
        <v>12412.4</v>
      </c>
      <c r="S43" s="11"/>
      <c r="T43" s="13"/>
      <c r="V43" s="19" t="s">
        <v>24</v>
      </c>
      <c r="W43" s="11"/>
      <c r="X43" s="14">
        <f t="shared" si="5"/>
        <v>0</v>
      </c>
      <c r="Y43" s="15">
        <v>115</v>
      </c>
      <c r="Z43" s="15">
        <f t="shared" si="6"/>
        <v>5490.1</v>
      </c>
      <c r="AA43" s="13">
        <f t="shared" si="7"/>
        <v>17902.5</v>
      </c>
    </row>
    <row r="44" spans="1:27" s="16" customFormat="1" x14ac:dyDescent="0.3">
      <c r="A44" s="18">
        <v>43</v>
      </c>
      <c r="B44" s="8">
        <v>46267</v>
      </c>
      <c r="C44" s="8">
        <v>46267</v>
      </c>
      <c r="D44" s="20">
        <v>260902022</v>
      </c>
      <c r="E44" s="21" t="s">
        <v>133</v>
      </c>
      <c r="F44" s="9" t="s">
        <v>134</v>
      </c>
      <c r="G44" s="9"/>
      <c r="H44" s="37">
        <v>136</v>
      </c>
      <c r="I44" s="39" t="s">
        <v>69</v>
      </c>
      <c r="J44" s="36" t="s">
        <v>23</v>
      </c>
      <c r="K44" s="26" t="s">
        <v>30</v>
      </c>
      <c r="L44" s="17" t="s">
        <v>70</v>
      </c>
      <c r="M44" s="9" t="s">
        <v>89</v>
      </c>
      <c r="N44" s="9">
        <v>64.36</v>
      </c>
      <c r="O44" s="9">
        <v>15.6</v>
      </c>
      <c r="P44" s="10">
        <f t="shared" si="8"/>
        <v>48.76</v>
      </c>
      <c r="Q44" s="11">
        <v>260</v>
      </c>
      <c r="R44" s="12">
        <f t="shared" si="0"/>
        <v>12677.6</v>
      </c>
      <c r="S44" s="11"/>
      <c r="T44" s="13"/>
      <c r="V44" s="19" t="s">
        <v>24</v>
      </c>
      <c r="W44" s="11"/>
      <c r="X44" s="14">
        <f t="shared" si="5"/>
        <v>0</v>
      </c>
      <c r="Y44" s="15">
        <v>115</v>
      </c>
      <c r="Z44" s="15">
        <f t="shared" si="6"/>
        <v>5607.4</v>
      </c>
      <c r="AA44" s="13">
        <f t="shared" si="7"/>
        <v>18285</v>
      </c>
    </row>
    <row r="45" spans="1:27" s="16" customFormat="1" x14ac:dyDescent="0.3">
      <c r="A45" s="18">
        <v>44</v>
      </c>
      <c r="B45" s="8">
        <v>46267</v>
      </c>
      <c r="C45" s="8">
        <v>46267</v>
      </c>
      <c r="D45" s="20">
        <v>260902023</v>
      </c>
      <c r="E45" s="21" t="s">
        <v>135</v>
      </c>
      <c r="F45" s="9" t="s">
        <v>136</v>
      </c>
      <c r="G45" s="9"/>
      <c r="H45" s="37">
        <v>136</v>
      </c>
      <c r="I45" s="39" t="s">
        <v>69</v>
      </c>
      <c r="J45" s="36" t="s">
        <v>23</v>
      </c>
      <c r="K45" s="26" t="s">
        <v>30</v>
      </c>
      <c r="L45" s="17" t="s">
        <v>137</v>
      </c>
      <c r="M45" s="9" t="s">
        <v>89</v>
      </c>
      <c r="N45" s="9">
        <v>63.76</v>
      </c>
      <c r="O45" s="9">
        <v>15.38</v>
      </c>
      <c r="P45" s="10">
        <f t="shared" si="8"/>
        <v>48.379999999999995</v>
      </c>
      <c r="Q45" s="11">
        <v>260</v>
      </c>
      <c r="R45" s="12">
        <f t="shared" si="0"/>
        <v>12578.8</v>
      </c>
      <c r="S45" s="11"/>
      <c r="T45" s="13"/>
      <c r="V45" s="19" t="s">
        <v>24</v>
      </c>
      <c r="W45" s="11"/>
      <c r="X45" s="14">
        <f t="shared" si="5"/>
        <v>0</v>
      </c>
      <c r="Y45" s="15">
        <v>115</v>
      </c>
      <c r="Z45" s="15">
        <f t="shared" si="6"/>
        <v>5563.7</v>
      </c>
      <c r="AA45" s="13">
        <f t="shared" si="7"/>
        <v>18142.5</v>
      </c>
    </row>
    <row r="46" spans="1:27" s="16" customFormat="1" x14ac:dyDescent="0.3">
      <c r="A46" s="18">
        <v>45</v>
      </c>
      <c r="B46" s="8">
        <v>46267</v>
      </c>
      <c r="C46" s="8">
        <v>46267</v>
      </c>
      <c r="D46" s="20">
        <v>260902024</v>
      </c>
      <c r="E46" s="21" t="s">
        <v>138</v>
      </c>
      <c r="F46" s="9" t="s">
        <v>139</v>
      </c>
      <c r="G46" s="9">
        <v>21</v>
      </c>
      <c r="H46" s="43">
        <v>18</v>
      </c>
      <c r="I46" s="26" t="s">
        <v>140</v>
      </c>
      <c r="J46" s="27" t="s">
        <v>23</v>
      </c>
      <c r="K46" s="26" t="s">
        <v>30</v>
      </c>
      <c r="L46" s="17" t="s">
        <v>141</v>
      </c>
      <c r="M46" s="9" t="s">
        <v>89</v>
      </c>
      <c r="N46" s="9">
        <v>36.32</v>
      </c>
      <c r="O46" s="9">
        <v>14.38</v>
      </c>
      <c r="P46" s="10">
        <f t="shared" si="8"/>
        <v>21.939999999999998</v>
      </c>
      <c r="Q46" s="11">
        <v>365</v>
      </c>
      <c r="R46" s="12">
        <f t="shared" si="0"/>
        <v>8008.0999999999995</v>
      </c>
      <c r="S46" s="11"/>
      <c r="T46" s="13"/>
      <c r="V46" s="19" t="s">
        <v>24</v>
      </c>
      <c r="W46" s="11">
        <v>145</v>
      </c>
      <c r="X46" s="14">
        <f t="shared" si="5"/>
        <v>3181.2999999999997</v>
      </c>
      <c r="Y46" s="15"/>
      <c r="Z46" s="15">
        <f t="shared" si="6"/>
        <v>0</v>
      </c>
      <c r="AA46" s="13">
        <f t="shared" si="7"/>
        <v>11189.4</v>
      </c>
    </row>
    <row r="47" spans="1:27" s="16" customFormat="1" x14ac:dyDescent="0.3">
      <c r="A47" s="18">
        <v>46</v>
      </c>
      <c r="B47" s="8">
        <v>46267</v>
      </c>
      <c r="C47" s="8">
        <v>46267</v>
      </c>
      <c r="D47" s="20">
        <v>260902025</v>
      </c>
      <c r="E47" s="21" t="s">
        <v>142</v>
      </c>
      <c r="F47" s="9" t="s">
        <v>143</v>
      </c>
      <c r="G47" s="9">
        <v>22</v>
      </c>
      <c r="H47" s="43">
        <v>18</v>
      </c>
      <c r="I47" s="26" t="s">
        <v>140</v>
      </c>
      <c r="J47" s="27" t="s">
        <v>23</v>
      </c>
      <c r="K47" s="26" t="s">
        <v>30</v>
      </c>
      <c r="L47" s="17" t="s">
        <v>144</v>
      </c>
      <c r="M47" s="9" t="s">
        <v>108</v>
      </c>
      <c r="N47" s="9">
        <v>36.340000000000003</v>
      </c>
      <c r="O47" s="9">
        <v>14.24</v>
      </c>
      <c r="P47" s="10">
        <f t="shared" si="8"/>
        <v>22.1</v>
      </c>
      <c r="Q47" s="11">
        <v>420</v>
      </c>
      <c r="R47" s="12">
        <f t="shared" si="0"/>
        <v>9282</v>
      </c>
      <c r="S47" s="11"/>
      <c r="T47" s="13"/>
      <c r="V47" s="19" t="s">
        <v>24</v>
      </c>
      <c r="W47" s="11">
        <v>145</v>
      </c>
      <c r="X47" s="14">
        <f t="shared" si="5"/>
        <v>3204.5</v>
      </c>
      <c r="Y47" s="15"/>
      <c r="Z47" s="15">
        <f t="shared" si="6"/>
        <v>0</v>
      </c>
      <c r="AA47" s="13">
        <f t="shared" si="7"/>
        <v>12486.5</v>
      </c>
    </row>
    <row r="48" spans="1:27" s="16" customFormat="1" x14ac:dyDescent="0.3">
      <c r="A48" s="18">
        <v>47</v>
      </c>
      <c r="B48" s="8">
        <v>46267</v>
      </c>
      <c r="C48" s="8">
        <v>46267</v>
      </c>
      <c r="D48" s="40">
        <v>260902026</v>
      </c>
      <c r="E48" s="21" t="s">
        <v>145</v>
      </c>
      <c r="F48" s="9" t="s">
        <v>146</v>
      </c>
      <c r="G48" s="9"/>
      <c r="H48" s="37">
        <v>136</v>
      </c>
      <c r="I48" s="39" t="s">
        <v>69</v>
      </c>
      <c r="J48" s="36" t="s">
        <v>23</v>
      </c>
      <c r="K48" s="26" t="s">
        <v>30</v>
      </c>
      <c r="L48" s="17" t="s">
        <v>123</v>
      </c>
      <c r="M48" s="9" t="s">
        <v>89</v>
      </c>
      <c r="N48" s="9">
        <v>58.42</v>
      </c>
      <c r="O48" s="9">
        <v>15.9</v>
      </c>
      <c r="P48" s="10">
        <f t="shared" si="8"/>
        <v>42.52</v>
      </c>
      <c r="Q48" s="11">
        <v>260</v>
      </c>
      <c r="R48" s="12">
        <f t="shared" si="0"/>
        <v>11055.2</v>
      </c>
      <c r="S48" s="11"/>
      <c r="T48" s="13"/>
      <c r="V48" s="19" t="s">
        <v>24</v>
      </c>
      <c r="W48" s="11"/>
      <c r="X48" s="14">
        <f t="shared" si="5"/>
        <v>0</v>
      </c>
      <c r="Y48" s="15">
        <v>115</v>
      </c>
      <c r="Z48" s="15">
        <f t="shared" si="6"/>
        <v>4889.8</v>
      </c>
      <c r="AA48" s="13">
        <f t="shared" si="7"/>
        <v>15945</v>
      </c>
    </row>
    <row r="49" spans="1:27" s="16" customFormat="1" x14ac:dyDescent="0.3">
      <c r="A49" s="18">
        <v>48</v>
      </c>
      <c r="B49" s="8">
        <v>46267</v>
      </c>
      <c r="C49" s="8">
        <v>46267</v>
      </c>
      <c r="D49" s="20">
        <v>260902027</v>
      </c>
      <c r="E49" s="21" t="s">
        <v>147</v>
      </c>
      <c r="F49" s="9" t="s">
        <v>148</v>
      </c>
      <c r="G49" s="9"/>
      <c r="H49" s="37">
        <v>136</v>
      </c>
      <c r="I49" s="39" t="s">
        <v>69</v>
      </c>
      <c r="J49" s="36" t="s">
        <v>23</v>
      </c>
      <c r="K49" s="26" t="s">
        <v>30</v>
      </c>
      <c r="L49" s="17" t="s">
        <v>82</v>
      </c>
      <c r="M49" s="9" t="s">
        <v>89</v>
      </c>
      <c r="N49" s="9">
        <v>62.22</v>
      </c>
      <c r="O49" s="9">
        <v>15.44</v>
      </c>
      <c r="P49" s="10">
        <f t="shared" si="8"/>
        <v>46.78</v>
      </c>
      <c r="Q49" s="11">
        <v>260</v>
      </c>
      <c r="R49" s="12">
        <f t="shared" si="0"/>
        <v>12162.800000000001</v>
      </c>
      <c r="S49" s="11"/>
      <c r="T49" s="13"/>
      <c r="V49" s="19" t="s">
        <v>24</v>
      </c>
      <c r="W49" s="11"/>
      <c r="X49" s="14">
        <f t="shared" si="5"/>
        <v>0</v>
      </c>
      <c r="Y49" s="15">
        <v>115</v>
      </c>
      <c r="Z49" s="15">
        <f t="shared" si="6"/>
        <v>5379.7</v>
      </c>
      <c r="AA49" s="13">
        <f t="shared" si="7"/>
        <v>17542.5</v>
      </c>
    </row>
    <row r="50" spans="1:27" s="16" customFormat="1" x14ac:dyDescent="0.3">
      <c r="A50" s="18">
        <v>49</v>
      </c>
      <c r="B50" s="8">
        <v>46267</v>
      </c>
      <c r="C50" s="8">
        <v>46267</v>
      </c>
      <c r="D50" s="20">
        <v>260902028</v>
      </c>
      <c r="E50" s="21" t="s">
        <v>149</v>
      </c>
      <c r="F50" s="9" t="s">
        <v>150</v>
      </c>
      <c r="G50" s="9"/>
      <c r="H50" s="37">
        <v>136</v>
      </c>
      <c r="I50" s="39" t="s">
        <v>69</v>
      </c>
      <c r="J50" s="36" t="s">
        <v>23</v>
      </c>
      <c r="K50" s="26" t="s">
        <v>30</v>
      </c>
      <c r="L50" s="17" t="s">
        <v>132</v>
      </c>
      <c r="M50" s="9" t="s">
        <v>89</v>
      </c>
      <c r="N50" s="9">
        <v>63.48</v>
      </c>
      <c r="O50" s="9">
        <v>15.6</v>
      </c>
      <c r="P50" s="10">
        <f t="shared" si="8"/>
        <v>47.879999999999995</v>
      </c>
      <c r="Q50" s="11">
        <v>260</v>
      </c>
      <c r="R50" s="12">
        <f t="shared" si="0"/>
        <v>12448.8</v>
      </c>
      <c r="S50" s="11"/>
      <c r="T50" s="13"/>
      <c r="V50" s="19" t="s">
        <v>24</v>
      </c>
      <c r="W50" s="11"/>
      <c r="X50" s="14">
        <f t="shared" si="5"/>
        <v>0</v>
      </c>
      <c r="Y50" s="15">
        <v>115</v>
      </c>
      <c r="Z50" s="15">
        <f t="shared" si="6"/>
        <v>5506.2</v>
      </c>
      <c r="AA50" s="13">
        <f t="shared" si="7"/>
        <v>17955</v>
      </c>
    </row>
    <row r="51" spans="1:27" s="16" customFormat="1" x14ac:dyDescent="0.3">
      <c r="A51" s="18">
        <v>50</v>
      </c>
      <c r="B51" s="8">
        <v>46267</v>
      </c>
      <c r="C51" s="8">
        <v>46267</v>
      </c>
      <c r="D51" s="20">
        <v>260902029</v>
      </c>
      <c r="E51" s="21" t="s">
        <v>151</v>
      </c>
      <c r="F51" s="9" t="s">
        <v>152</v>
      </c>
      <c r="G51" s="9"/>
      <c r="H51" s="37">
        <v>136</v>
      </c>
      <c r="I51" s="39" t="s">
        <v>69</v>
      </c>
      <c r="J51" s="36" t="s">
        <v>23</v>
      </c>
      <c r="K51" s="26" t="s">
        <v>30</v>
      </c>
      <c r="L51" s="17" t="s">
        <v>97</v>
      </c>
      <c r="M51" s="9" t="s">
        <v>89</v>
      </c>
      <c r="N51" s="9">
        <v>57.94</v>
      </c>
      <c r="O51" s="9">
        <v>13.82</v>
      </c>
      <c r="P51" s="10">
        <f t="shared" si="8"/>
        <v>44.12</v>
      </c>
      <c r="Q51" s="11">
        <v>260</v>
      </c>
      <c r="R51" s="12">
        <f t="shared" si="0"/>
        <v>11471.199999999999</v>
      </c>
      <c r="S51" s="11"/>
      <c r="T51" s="13"/>
      <c r="V51" s="19" t="s">
        <v>24</v>
      </c>
      <c r="W51" s="11"/>
      <c r="X51" s="14">
        <f t="shared" si="5"/>
        <v>0</v>
      </c>
      <c r="Y51" s="15">
        <v>115</v>
      </c>
      <c r="Z51" s="15">
        <f t="shared" si="6"/>
        <v>5073.7999999999993</v>
      </c>
      <c r="AA51" s="13">
        <f t="shared" si="7"/>
        <v>16545</v>
      </c>
    </row>
    <row r="52" spans="1:27" s="16" customFormat="1" x14ac:dyDescent="0.3">
      <c r="A52" s="18">
        <v>51</v>
      </c>
      <c r="B52" s="8">
        <v>46267</v>
      </c>
      <c r="C52" s="8">
        <v>46268</v>
      </c>
      <c r="D52" s="44">
        <v>260903001</v>
      </c>
      <c r="E52" s="21" t="s">
        <v>153</v>
      </c>
      <c r="F52" s="9" t="s">
        <v>154</v>
      </c>
      <c r="G52" s="9"/>
      <c r="H52" s="37">
        <v>136</v>
      </c>
      <c r="I52" s="39" t="s">
        <v>69</v>
      </c>
      <c r="J52" s="36" t="s">
        <v>23</v>
      </c>
      <c r="K52" s="26" t="s">
        <v>30</v>
      </c>
      <c r="L52" s="45" t="s">
        <v>70</v>
      </c>
      <c r="M52" s="9" t="s">
        <v>89</v>
      </c>
      <c r="N52" s="9">
        <v>61.68</v>
      </c>
      <c r="O52" s="9">
        <v>15.68</v>
      </c>
      <c r="P52" s="10">
        <f t="shared" si="8"/>
        <v>46</v>
      </c>
      <c r="Q52" s="11">
        <v>260</v>
      </c>
      <c r="R52" s="12">
        <f t="shared" si="0"/>
        <v>11960</v>
      </c>
      <c r="S52" s="11"/>
      <c r="T52" s="13"/>
      <c r="V52" s="19" t="s">
        <v>24</v>
      </c>
      <c r="W52" s="11"/>
      <c r="X52" s="14">
        <f t="shared" si="5"/>
        <v>0</v>
      </c>
      <c r="Y52" s="15">
        <v>115</v>
      </c>
      <c r="Z52" s="15">
        <f t="shared" si="6"/>
        <v>5290</v>
      </c>
      <c r="AA52" s="13">
        <f t="shared" si="7"/>
        <v>17250</v>
      </c>
    </row>
    <row r="53" spans="1:27" s="16" customFormat="1" x14ac:dyDescent="0.3">
      <c r="A53" s="18">
        <v>52</v>
      </c>
      <c r="B53" s="8">
        <v>46267</v>
      </c>
      <c r="C53" s="8">
        <v>46268</v>
      </c>
      <c r="D53" s="44">
        <v>260903002</v>
      </c>
      <c r="E53" s="21" t="s">
        <v>155</v>
      </c>
      <c r="F53" s="9" t="s">
        <v>156</v>
      </c>
      <c r="G53" s="9"/>
      <c r="H53" s="37">
        <v>136</v>
      </c>
      <c r="I53" s="39" t="s">
        <v>69</v>
      </c>
      <c r="J53" s="36" t="s">
        <v>23</v>
      </c>
      <c r="K53" s="26" t="s">
        <v>30</v>
      </c>
      <c r="L53" s="45" t="s">
        <v>74</v>
      </c>
      <c r="M53" s="9" t="s">
        <v>89</v>
      </c>
      <c r="N53" s="9">
        <v>62.7</v>
      </c>
      <c r="O53" s="9">
        <v>15.66</v>
      </c>
      <c r="P53" s="10">
        <f t="shared" si="8"/>
        <v>47.040000000000006</v>
      </c>
      <c r="Q53" s="11">
        <v>260</v>
      </c>
      <c r="R53" s="12">
        <f t="shared" si="0"/>
        <v>12230.400000000001</v>
      </c>
      <c r="S53" s="11"/>
      <c r="T53" s="13"/>
      <c r="V53" s="19" t="s">
        <v>24</v>
      </c>
      <c r="W53" s="11"/>
      <c r="X53" s="14">
        <f t="shared" si="5"/>
        <v>0</v>
      </c>
      <c r="Y53" s="15">
        <v>115</v>
      </c>
      <c r="Z53" s="15">
        <f t="shared" si="6"/>
        <v>5409.6</v>
      </c>
      <c r="AA53" s="13">
        <f t="shared" si="7"/>
        <v>17640</v>
      </c>
    </row>
    <row r="54" spans="1:27" s="16" customFormat="1" x14ac:dyDescent="0.3">
      <c r="A54" s="18">
        <v>53</v>
      </c>
      <c r="B54" s="8">
        <v>46267</v>
      </c>
      <c r="C54" s="8">
        <v>46268</v>
      </c>
      <c r="D54" s="44">
        <v>260903003</v>
      </c>
      <c r="E54" s="21" t="s">
        <v>157</v>
      </c>
      <c r="F54" s="9" t="s">
        <v>158</v>
      </c>
      <c r="G54" s="9"/>
      <c r="H54" s="37">
        <v>136</v>
      </c>
      <c r="I54" s="39" t="s">
        <v>69</v>
      </c>
      <c r="J54" s="36" t="s">
        <v>23</v>
      </c>
      <c r="K54" s="26" t="s">
        <v>30</v>
      </c>
      <c r="L54" s="45" t="s">
        <v>123</v>
      </c>
      <c r="M54" s="9" t="s">
        <v>89</v>
      </c>
      <c r="N54" s="9">
        <v>62.92</v>
      </c>
      <c r="O54" s="9">
        <v>15.86</v>
      </c>
      <c r="P54" s="10">
        <f t="shared" si="8"/>
        <v>47.06</v>
      </c>
      <c r="Q54" s="11">
        <v>260</v>
      </c>
      <c r="R54" s="12">
        <f t="shared" si="0"/>
        <v>12235.6</v>
      </c>
      <c r="S54" s="11"/>
      <c r="T54" s="13"/>
      <c r="V54" s="19" t="s">
        <v>24</v>
      </c>
      <c r="W54" s="11"/>
      <c r="X54" s="14">
        <f t="shared" si="5"/>
        <v>0</v>
      </c>
      <c r="Y54" s="15">
        <v>115</v>
      </c>
      <c r="Z54" s="15">
        <f t="shared" si="6"/>
        <v>5411.9000000000005</v>
      </c>
      <c r="AA54" s="13">
        <f t="shared" si="7"/>
        <v>17647.5</v>
      </c>
    </row>
    <row r="55" spans="1:27" s="16" customFormat="1" x14ac:dyDescent="0.3">
      <c r="A55" s="18">
        <v>54</v>
      </c>
      <c r="B55" s="8">
        <v>46267</v>
      </c>
      <c r="C55" s="8">
        <v>46268</v>
      </c>
      <c r="D55" s="44">
        <v>260903004</v>
      </c>
      <c r="E55" s="21" t="s">
        <v>159</v>
      </c>
      <c r="F55" s="9" t="s">
        <v>160</v>
      </c>
      <c r="G55" s="9">
        <v>38</v>
      </c>
      <c r="H55" s="37">
        <v>126</v>
      </c>
      <c r="I55" s="26" t="s">
        <v>161</v>
      </c>
      <c r="J55" s="36" t="s">
        <v>23</v>
      </c>
      <c r="K55" s="26" t="s">
        <v>30</v>
      </c>
      <c r="L55" s="45" t="s">
        <v>162</v>
      </c>
      <c r="M55" s="9" t="s">
        <v>163</v>
      </c>
      <c r="N55" s="9">
        <v>50.52</v>
      </c>
      <c r="O55" s="9">
        <v>11.6</v>
      </c>
      <c r="P55" s="10">
        <f t="shared" si="8"/>
        <v>38.92</v>
      </c>
      <c r="Q55" s="11">
        <v>270</v>
      </c>
      <c r="R55" s="12">
        <f t="shared" si="0"/>
        <v>10508.4</v>
      </c>
      <c r="S55" s="11"/>
      <c r="T55" s="13"/>
      <c r="V55" s="19" t="s">
        <v>24</v>
      </c>
      <c r="W55" s="11">
        <v>145</v>
      </c>
      <c r="X55" s="14">
        <f t="shared" si="5"/>
        <v>5643.4000000000005</v>
      </c>
      <c r="Y55" s="15">
        <v>260</v>
      </c>
      <c r="Z55" s="15">
        <f t="shared" si="6"/>
        <v>10119.200000000001</v>
      </c>
      <c r="AA55" s="13">
        <f t="shared" si="7"/>
        <v>26271</v>
      </c>
    </row>
    <row r="56" spans="1:27" s="16" customFormat="1" x14ac:dyDescent="0.3">
      <c r="A56" s="18">
        <v>55</v>
      </c>
      <c r="B56" s="8">
        <v>46267</v>
      </c>
      <c r="C56" s="8">
        <v>46268</v>
      </c>
      <c r="D56" s="44">
        <v>260903005</v>
      </c>
      <c r="E56" s="21" t="s">
        <v>164</v>
      </c>
      <c r="F56" s="9" t="s">
        <v>165</v>
      </c>
      <c r="G56" s="9">
        <v>37</v>
      </c>
      <c r="H56" s="37">
        <v>126</v>
      </c>
      <c r="I56" s="26" t="s">
        <v>161</v>
      </c>
      <c r="J56" s="36" t="s">
        <v>23</v>
      </c>
      <c r="K56" s="26" t="s">
        <v>30</v>
      </c>
      <c r="L56" s="45" t="s">
        <v>166</v>
      </c>
      <c r="M56" s="9" t="s">
        <v>163</v>
      </c>
      <c r="N56" s="9">
        <v>49.2</v>
      </c>
      <c r="O56" s="9">
        <v>11.42</v>
      </c>
      <c r="P56" s="10">
        <f t="shared" si="8"/>
        <v>37.78</v>
      </c>
      <c r="Q56" s="11">
        <v>270</v>
      </c>
      <c r="R56" s="12">
        <f t="shared" si="0"/>
        <v>10200.6</v>
      </c>
      <c r="S56" s="11"/>
      <c r="T56" s="13"/>
      <c r="V56" s="19" t="s">
        <v>24</v>
      </c>
      <c r="W56" s="11">
        <v>145</v>
      </c>
      <c r="X56" s="14">
        <f t="shared" si="5"/>
        <v>5478.1</v>
      </c>
      <c r="Y56" s="15">
        <v>260</v>
      </c>
      <c r="Z56" s="15">
        <f t="shared" si="6"/>
        <v>9822.8000000000011</v>
      </c>
      <c r="AA56" s="13">
        <f t="shared" si="7"/>
        <v>25501.5</v>
      </c>
    </row>
    <row r="57" spans="1:27" s="16" customFormat="1" x14ac:dyDescent="0.3">
      <c r="A57" s="18">
        <v>56</v>
      </c>
      <c r="B57" s="8">
        <v>46267</v>
      </c>
      <c r="C57" s="8">
        <v>46268</v>
      </c>
      <c r="D57" s="44">
        <v>260903006</v>
      </c>
      <c r="E57" s="21" t="s">
        <v>167</v>
      </c>
      <c r="F57" s="9" t="s">
        <v>168</v>
      </c>
      <c r="G57" s="9">
        <v>47</v>
      </c>
      <c r="H57" s="43">
        <v>42</v>
      </c>
      <c r="I57" s="26" t="s">
        <v>169</v>
      </c>
      <c r="J57" s="27" t="s">
        <v>23</v>
      </c>
      <c r="K57" s="26" t="s">
        <v>30</v>
      </c>
      <c r="L57" s="45" t="s">
        <v>170</v>
      </c>
      <c r="M57" s="9" t="s">
        <v>31</v>
      </c>
      <c r="N57" s="9">
        <v>62.24</v>
      </c>
      <c r="O57" s="9">
        <v>15</v>
      </c>
      <c r="P57" s="10">
        <f t="shared" si="8"/>
        <v>47.24</v>
      </c>
      <c r="Q57" s="11">
        <v>525</v>
      </c>
      <c r="R57" s="12">
        <f t="shared" si="0"/>
        <v>24801</v>
      </c>
      <c r="S57" s="11"/>
      <c r="T57" s="13"/>
      <c r="V57" s="19" t="s">
        <v>24</v>
      </c>
      <c r="W57" s="11">
        <v>145</v>
      </c>
      <c r="X57" s="14">
        <f t="shared" si="5"/>
        <v>6849.8</v>
      </c>
      <c r="Y57" s="15">
        <v>260</v>
      </c>
      <c r="Z57" s="15">
        <f t="shared" si="6"/>
        <v>12282.4</v>
      </c>
      <c r="AA57" s="13">
        <f t="shared" si="7"/>
        <v>43933.2</v>
      </c>
    </row>
    <row r="58" spans="1:27" s="16" customFormat="1" x14ac:dyDescent="0.3">
      <c r="A58" s="18">
        <v>57</v>
      </c>
      <c r="B58" s="8">
        <v>46267</v>
      </c>
      <c r="C58" s="8">
        <v>46268</v>
      </c>
      <c r="D58" s="44">
        <v>260903007</v>
      </c>
      <c r="E58" s="21" t="s">
        <v>171</v>
      </c>
      <c r="F58" s="9" t="s">
        <v>172</v>
      </c>
      <c r="G58" s="9">
        <v>48</v>
      </c>
      <c r="H58" s="43">
        <v>42</v>
      </c>
      <c r="I58" s="26" t="s">
        <v>169</v>
      </c>
      <c r="J58" s="27" t="s">
        <v>23</v>
      </c>
      <c r="K58" s="26" t="s">
        <v>30</v>
      </c>
      <c r="L58" s="45" t="s">
        <v>114</v>
      </c>
      <c r="M58" s="9" t="s">
        <v>173</v>
      </c>
      <c r="N58" s="9">
        <v>64.52</v>
      </c>
      <c r="O58" s="9">
        <v>16.04</v>
      </c>
      <c r="P58" s="10">
        <f t="shared" si="8"/>
        <v>48.48</v>
      </c>
      <c r="Q58" s="11">
        <v>470</v>
      </c>
      <c r="R58" s="12">
        <f t="shared" si="0"/>
        <v>22785.599999999999</v>
      </c>
      <c r="S58" s="11"/>
      <c r="T58" s="13"/>
      <c r="V58" s="19" t="s">
        <v>24</v>
      </c>
      <c r="W58" s="11">
        <v>145</v>
      </c>
      <c r="X58" s="14">
        <f t="shared" si="5"/>
        <v>7029.5999999999995</v>
      </c>
      <c r="Y58" s="15">
        <v>260</v>
      </c>
      <c r="Z58" s="15">
        <f t="shared" si="6"/>
        <v>12604.8</v>
      </c>
      <c r="AA58" s="13">
        <f t="shared" si="7"/>
        <v>42420</v>
      </c>
    </row>
    <row r="59" spans="1:27" s="16" customFormat="1" x14ac:dyDescent="0.3">
      <c r="A59" s="18">
        <v>58</v>
      </c>
      <c r="B59" s="8">
        <v>46267</v>
      </c>
      <c r="C59" s="8">
        <v>46268</v>
      </c>
      <c r="D59" s="44">
        <v>260903008</v>
      </c>
      <c r="E59" s="21" t="s">
        <v>174</v>
      </c>
      <c r="F59" s="9" t="s">
        <v>175</v>
      </c>
      <c r="G59" s="9">
        <v>38</v>
      </c>
      <c r="H59" s="43">
        <v>42</v>
      </c>
      <c r="I59" s="26" t="s">
        <v>169</v>
      </c>
      <c r="J59" s="27" t="s">
        <v>23</v>
      </c>
      <c r="K59" s="26" t="s">
        <v>30</v>
      </c>
      <c r="L59" s="45" t="s">
        <v>111</v>
      </c>
      <c r="M59" s="9" t="s">
        <v>173</v>
      </c>
      <c r="N59" s="9">
        <v>50.78</v>
      </c>
      <c r="O59" s="9">
        <v>11.82</v>
      </c>
      <c r="P59" s="10">
        <f t="shared" si="8"/>
        <v>38.96</v>
      </c>
      <c r="Q59" s="11">
        <v>470</v>
      </c>
      <c r="R59" s="12">
        <f t="shared" si="0"/>
        <v>18311.2</v>
      </c>
      <c r="S59" s="11"/>
      <c r="T59" s="13"/>
      <c r="V59" s="19" t="s">
        <v>24</v>
      </c>
      <c r="W59" s="11">
        <v>145</v>
      </c>
      <c r="X59" s="14">
        <f t="shared" si="5"/>
        <v>5649.2</v>
      </c>
      <c r="Y59" s="15">
        <v>260</v>
      </c>
      <c r="Z59" s="15">
        <f t="shared" si="6"/>
        <v>10129.6</v>
      </c>
      <c r="AA59" s="13">
        <f t="shared" si="7"/>
        <v>34090</v>
      </c>
    </row>
    <row r="60" spans="1:27" s="16" customFormat="1" x14ac:dyDescent="0.3">
      <c r="A60" s="18">
        <v>59</v>
      </c>
      <c r="B60" s="8">
        <v>46267</v>
      </c>
      <c r="C60" s="8">
        <v>46268</v>
      </c>
      <c r="D60" s="44">
        <v>260903009</v>
      </c>
      <c r="E60" s="21" t="s">
        <v>176</v>
      </c>
      <c r="F60" s="9" t="s">
        <v>177</v>
      </c>
      <c r="G60" s="9">
        <v>39</v>
      </c>
      <c r="H60" s="43">
        <v>42</v>
      </c>
      <c r="I60" s="26" t="s">
        <v>169</v>
      </c>
      <c r="J60" s="27" t="s">
        <v>23</v>
      </c>
      <c r="K60" s="26" t="s">
        <v>30</v>
      </c>
      <c r="L60" s="45" t="s">
        <v>104</v>
      </c>
      <c r="M60" s="9" t="s">
        <v>173</v>
      </c>
      <c r="N60" s="9">
        <v>51.02</v>
      </c>
      <c r="O60" s="9">
        <v>11.76</v>
      </c>
      <c r="P60" s="10">
        <f t="shared" si="8"/>
        <v>39.260000000000005</v>
      </c>
      <c r="Q60" s="11">
        <v>470</v>
      </c>
      <c r="R60" s="12">
        <f t="shared" si="0"/>
        <v>18452.2</v>
      </c>
      <c r="S60" s="11"/>
      <c r="T60" s="13"/>
      <c r="V60" s="19" t="s">
        <v>24</v>
      </c>
      <c r="W60" s="11">
        <v>145</v>
      </c>
      <c r="X60" s="14">
        <f t="shared" si="5"/>
        <v>5692.7000000000007</v>
      </c>
      <c r="Y60" s="15">
        <v>260</v>
      </c>
      <c r="Z60" s="15">
        <f t="shared" si="6"/>
        <v>10207.600000000002</v>
      </c>
      <c r="AA60" s="13">
        <f t="shared" si="7"/>
        <v>34352.5</v>
      </c>
    </row>
    <row r="61" spans="1:27" s="16" customFormat="1" x14ac:dyDescent="0.3">
      <c r="A61" s="18">
        <v>60</v>
      </c>
      <c r="B61" s="8">
        <v>46267</v>
      </c>
      <c r="C61" s="8">
        <v>46268</v>
      </c>
      <c r="D61" s="44" t="s">
        <v>178</v>
      </c>
      <c r="E61" s="21"/>
      <c r="F61" s="9"/>
      <c r="G61" s="9"/>
      <c r="H61" s="46"/>
      <c r="I61" s="26" t="s">
        <v>179</v>
      </c>
      <c r="J61" s="27" t="s">
        <v>23</v>
      </c>
      <c r="K61" s="26" t="s">
        <v>30</v>
      </c>
      <c r="L61" s="45" t="s">
        <v>180</v>
      </c>
      <c r="M61" s="9" t="s">
        <v>31</v>
      </c>
      <c r="N61" s="47">
        <v>16.920000000000002</v>
      </c>
      <c r="O61" s="47">
        <v>7.42</v>
      </c>
      <c r="P61" s="10">
        <f t="shared" si="8"/>
        <v>9.5000000000000018</v>
      </c>
      <c r="Q61" s="11">
        <v>550</v>
      </c>
      <c r="R61" s="12">
        <f t="shared" si="0"/>
        <v>5225.0000000000009</v>
      </c>
      <c r="S61" s="11"/>
      <c r="T61" s="13"/>
      <c r="V61" s="19" t="s">
        <v>181</v>
      </c>
      <c r="W61" s="11"/>
      <c r="X61" s="14">
        <f t="shared" si="5"/>
        <v>0</v>
      </c>
      <c r="Y61" s="15"/>
      <c r="Z61" s="15">
        <f t="shared" si="6"/>
        <v>0</v>
      </c>
      <c r="AA61" s="13">
        <f t="shared" si="7"/>
        <v>5225.0000000000009</v>
      </c>
    </row>
    <row r="62" spans="1:27" s="16" customFormat="1" x14ac:dyDescent="0.3">
      <c r="A62" s="18">
        <v>61</v>
      </c>
      <c r="B62" s="8">
        <v>46267</v>
      </c>
      <c r="C62" s="8">
        <v>46268</v>
      </c>
      <c r="D62" s="44">
        <v>260903010</v>
      </c>
      <c r="E62" s="21" t="s">
        <v>182</v>
      </c>
      <c r="F62" s="9" t="s">
        <v>183</v>
      </c>
      <c r="G62" s="9">
        <v>48</v>
      </c>
      <c r="H62" s="43">
        <v>42</v>
      </c>
      <c r="I62" s="26" t="s">
        <v>169</v>
      </c>
      <c r="J62" s="27" t="s">
        <v>23</v>
      </c>
      <c r="K62" s="26" t="s">
        <v>30</v>
      </c>
      <c r="L62" s="45" t="s">
        <v>184</v>
      </c>
      <c r="M62" s="9" t="s">
        <v>31</v>
      </c>
      <c r="N62" s="47">
        <v>65.22</v>
      </c>
      <c r="O62" s="47">
        <v>16.34</v>
      </c>
      <c r="P62" s="10">
        <f t="shared" si="8"/>
        <v>48.879999999999995</v>
      </c>
      <c r="Q62" s="11">
        <v>525</v>
      </c>
      <c r="R62" s="12">
        <f t="shared" si="0"/>
        <v>25661.999999999996</v>
      </c>
      <c r="S62" s="11"/>
      <c r="T62" s="13"/>
      <c r="V62" s="19" t="s">
        <v>24</v>
      </c>
      <c r="W62" s="11">
        <v>145</v>
      </c>
      <c r="X62" s="14">
        <f t="shared" si="5"/>
        <v>7087.5999999999995</v>
      </c>
      <c r="Y62" s="15">
        <v>260</v>
      </c>
      <c r="Z62" s="15">
        <f t="shared" si="6"/>
        <v>12708.8</v>
      </c>
      <c r="AA62" s="13">
        <f t="shared" si="7"/>
        <v>45458.399999999994</v>
      </c>
    </row>
    <row r="63" spans="1:27" s="16" customFormat="1" x14ac:dyDescent="0.3">
      <c r="A63" s="18">
        <v>62</v>
      </c>
      <c r="B63" s="8">
        <v>46267</v>
      </c>
      <c r="C63" s="8">
        <v>46268</v>
      </c>
      <c r="D63" s="44">
        <v>260903011</v>
      </c>
      <c r="E63" s="21" t="s">
        <v>185</v>
      </c>
      <c r="F63" s="9" t="s">
        <v>186</v>
      </c>
      <c r="G63" s="9">
        <v>35</v>
      </c>
      <c r="H63" s="37">
        <v>140</v>
      </c>
      <c r="I63" s="26" t="s">
        <v>187</v>
      </c>
      <c r="J63" s="6" t="s">
        <v>23</v>
      </c>
      <c r="K63" s="26" t="s">
        <v>30</v>
      </c>
      <c r="L63" s="45" t="s">
        <v>188</v>
      </c>
      <c r="M63" s="9" t="s">
        <v>108</v>
      </c>
      <c r="N63" s="47">
        <v>47.16</v>
      </c>
      <c r="O63" s="47">
        <v>11.5</v>
      </c>
      <c r="P63" s="10">
        <f t="shared" si="8"/>
        <v>35.659999999999997</v>
      </c>
      <c r="Q63" s="11">
        <v>330</v>
      </c>
      <c r="R63" s="12">
        <f t="shared" si="0"/>
        <v>11767.8</v>
      </c>
      <c r="S63" s="11"/>
      <c r="T63" s="13"/>
      <c r="V63" s="19" t="s">
        <v>24</v>
      </c>
      <c r="W63" s="11">
        <v>145</v>
      </c>
      <c r="X63" s="14">
        <f t="shared" si="5"/>
        <v>5170.7</v>
      </c>
      <c r="Y63" s="15">
        <v>190</v>
      </c>
      <c r="Z63" s="15">
        <f t="shared" si="6"/>
        <v>6775.4</v>
      </c>
      <c r="AA63" s="13">
        <f t="shared" si="7"/>
        <v>23713.9</v>
      </c>
    </row>
    <row r="64" spans="1:27" s="16" customFormat="1" x14ac:dyDescent="0.3">
      <c r="A64" s="18">
        <v>63</v>
      </c>
      <c r="B64" s="8">
        <v>46267</v>
      </c>
      <c r="C64" s="8">
        <v>46268</v>
      </c>
      <c r="D64" s="44">
        <v>260903012</v>
      </c>
      <c r="E64" s="21" t="s">
        <v>189</v>
      </c>
      <c r="F64" s="9" t="s">
        <v>190</v>
      </c>
      <c r="G64" s="9">
        <v>45</v>
      </c>
      <c r="H64" s="37">
        <v>140</v>
      </c>
      <c r="I64" s="26" t="s">
        <v>187</v>
      </c>
      <c r="J64" s="6" t="s">
        <v>23</v>
      </c>
      <c r="K64" s="26" t="s">
        <v>30</v>
      </c>
      <c r="L64" s="45" t="s">
        <v>132</v>
      </c>
      <c r="M64" s="9" t="s">
        <v>31</v>
      </c>
      <c r="N64" s="47">
        <v>61.32</v>
      </c>
      <c r="O64" s="47">
        <v>15.56</v>
      </c>
      <c r="P64" s="10">
        <f>N64-O64</f>
        <v>45.76</v>
      </c>
      <c r="Q64" s="11">
        <v>565</v>
      </c>
      <c r="R64" s="12">
        <f t="shared" si="0"/>
        <v>25854.399999999998</v>
      </c>
      <c r="S64" s="11"/>
      <c r="T64" s="13"/>
      <c r="V64" s="19" t="s">
        <v>24</v>
      </c>
      <c r="W64" s="11">
        <v>145</v>
      </c>
      <c r="X64" s="14">
        <f t="shared" si="5"/>
        <v>6635.2</v>
      </c>
      <c r="Y64" s="15">
        <v>190</v>
      </c>
      <c r="Z64" s="15">
        <f t="shared" si="6"/>
        <v>8694.4</v>
      </c>
      <c r="AA64" s="13">
        <f t="shared" si="7"/>
        <v>41184</v>
      </c>
    </row>
    <row r="65" spans="1:28" s="16" customFormat="1" x14ac:dyDescent="0.3">
      <c r="A65" s="18">
        <v>64</v>
      </c>
      <c r="B65" s="8">
        <v>46267</v>
      </c>
      <c r="C65" s="8">
        <v>46268</v>
      </c>
      <c r="D65" s="44">
        <v>260903013</v>
      </c>
      <c r="E65" s="21" t="s">
        <v>191</v>
      </c>
      <c r="F65" s="9" t="s">
        <v>192</v>
      </c>
      <c r="G65" s="9">
        <v>46</v>
      </c>
      <c r="H65" s="43">
        <v>42</v>
      </c>
      <c r="I65" s="26" t="s">
        <v>169</v>
      </c>
      <c r="J65" s="27" t="s">
        <v>23</v>
      </c>
      <c r="K65" s="26" t="s">
        <v>30</v>
      </c>
      <c r="L65" s="45" t="s">
        <v>193</v>
      </c>
      <c r="M65" s="9" t="s">
        <v>108</v>
      </c>
      <c r="N65" s="47">
        <v>63.58</v>
      </c>
      <c r="O65" s="47">
        <v>16.760000000000002</v>
      </c>
      <c r="P65" s="10">
        <f>N65-O65</f>
        <v>46.819999999999993</v>
      </c>
      <c r="Q65" s="11">
        <v>285</v>
      </c>
      <c r="R65" s="12">
        <f t="shared" si="0"/>
        <v>13343.699999999999</v>
      </c>
      <c r="S65" s="11"/>
      <c r="T65" s="13"/>
      <c r="V65" s="19" t="s">
        <v>24</v>
      </c>
      <c r="W65" s="11">
        <v>145</v>
      </c>
      <c r="X65" s="14">
        <f t="shared" si="5"/>
        <v>6788.8999999999987</v>
      </c>
      <c r="Y65" s="15">
        <v>260</v>
      </c>
      <c r="Z65" s="15">
        <f t="shared" si="6"/>
        <v>12173.199999999999</v>
      </c>
      <c r="AA65" s="13">
        <f t="shared" si="7"/>
        <v>32305.799999999996</v>
      </c>
    </row>
    <row r="66" spans="1:28" s="16" customFormat="1" x14ac:dyDescent="0.3">
      <c r="A66" s="18">
        <v>65</v>
      </c>
      <c r="B66" s="8">
        <v>46267</v>
      </c>
      <c r="C66" s="8">
        <v>46268</v>
      </c>
      <c r="D66" s="44">
        <v>260903014</v>
      </c>
      <c r="E66" s="21" t="s">
        <v>194</v>
      </c>
      <c r="F66" s="9" t="s">
        <v>195</v>
      </c>
      <c r="G66" s="9">
        <v>40</v>
      </c>
      <c r="H66" s="43">
        <v>42</v>
      </c>
      <c r="I66" s="26" t="s">
        <v>169</v>
      </c>
      <c r="J66" s="27" t="s">
        <v>23</v>
      </c>
      <c r="K66" s="26" t="s">
        <v>30</v>
      </c>
      <c r="L66" s="45" t="s">
        <v>97</v>
      </c>
      <c r="M66" s="9" t="s">
        <v>108</v>
      </c>
      <c r="N66" s="47">
        <v>54.56</v>
      </c>
      <c r="O66" s="47">
        <v>13.78</v>
      </c>
      <c r="P66" s="10">
        <f>N66-O66</f>
        <v>40.78</v>
      </c>
      <c r="Q66" s="11">
        <v>285</v>
      </c>
      <c r="R66" s="12">
        <f t="shared" ref="R66:R129" si="9">P66*Q66</f>
        <v>11622.300000000001</v>
      </c>
      <c r="S66" s="11"/>
      <c r="T66" s="13"/>
      <c r="V66" s="19" t="s">
        <v>24</v>
      </c>
      <c r="W66" s="11">
        <v>145</v>
      </c>
      <c r="X66" s="14">
        <f t="shared" si="5"/>
        <v>5913.1</v>
      </c>
      <c r="Y66" s="15">
        <v>260</v>
      </c>
      <c r="Z66" s="15">
        <f t="shared" si="6"/>
        <v>10602.800000000001</v>
      </c>
      <c r="AA66" s="13">
        <f t="shared" si="7"/>
        <v>28138.200000000004</v>
      </c>
    </row>
    <row r="67" spans="1:28" s="16" customFormat="1" x14ac:dyDescent="0.3">
      <c r="A67" s="18">
        <v>66</v>
      </c>
      <c r="B67" s="8">
        <v>46267</v>
      </c>
      <c r="C67" s="8">
        <v>46268</v>
      </c>
      <c r="D67" s="44">
        <v>260903015</v>
      </c>
      <c r="E67" s="21" t="s">
        <v>196</v>
      </c>
      <c r="F67" s="9" t="s">
        <v>197</v>
      </c>
      <c r="G67" s="9">
        <v>45</v>
      </c>
      <c r="H67" s="43">
        <v>42</v>
      </c>
      <c r="I67" s="26" t="s">
        <v>169</v>
      </c>
      <c r="J67" s="27" t="s">
        <v>23</v>
      </c>
      <c r="K67" s="26" t="s">
        <v>30</v>
      </c>
      <c r="L67" s="17" t="s">
        <v>70</v>
      </c>
      <c r="M67" s="9" t="s">
        <v>31</v>
      </c>
      <c r="N67" s="47">
        <v>61.02</v>
      </c>
      <c r="O67" s="47">
        <v>15.64</v>
      </c>
      <c r="P67" s="10">
        <f t="shared" si="8"/>
        <v>45.38</v>
      </c>
      <c r="Q67" s="11">
        <v>525</v>
      </c>
      <c r="R67" s="12">
        <f t="shared" si="9"/>
        <v>23824.5</v>
      </c>
      <c r="S67" s="11"/>
      <c r="T67" s="13"/>
      <c r="V67" s="19" t="s">
        <v>24</v>
      </c>
      <c r="W67" s="11">
        <v>145</v>
      </c>
      <c r="X67" s="14">
        <f t="shared" si="5"/>
        <v>6580.1</v>
      </c>
      <c r="Y67" s="15">
        <v>260</v>
      </c>
      <c r="Z67" s="15">
        <f t="shared" si="6"/>
        <v>11798.800000000001</v>
      </c>
      <c r="AA67" s="13">
        <f t="shared" si="7"/>
        <v>42203.4</v>
      </c>
    </row>
    <row r="68" spans="1:28" s="16" customFormat="1" x14ac:dyDescent="0.3">
      <c r="A68" s="18">
        <v>67</v>
      </c>
      <c r="B68" s="8">
        <v>46267</v>
      </c>
      <c r="C68" s="8">
        <v>46268</v>
      </c>
      <c r="D68" s="44">
        <v>260903016</v>
      </c>
      <c r="E68" s="21" t="s">
        <v>198</v>
      </c>
      <c r="F68" s="9" t="s">
        <v>199</v>
      </c>
      <c r="G68" s="9">
        <v>49</v>
      </c>
      <c r="H68" s="43">
        <v>42</v>
      </c>
      <c r="I68" s="26" t="s">
        <v>169</v>
      </c>
      <c r="J68" s="27" t="s">
        <v>23</v>
      </c>
      <c r="K68" s="26" t="s">
        <v>30</v>
      </c>
      <c r="L68" s="17" t="s">
        <v>200</v>
      </c>
      <c r="M68" s="9" t="s">
        <v>173</v>
      </c>
      <c r="N68" s="47">
        <v>64.72</v>
      </c>
      <c r="O68" s="47">
        <v>15.64</v>
      </c>
      <c r="P68" s="10">
        <f t="shared" si="8"/>
        <v>49.08</v>
      </c>
      <c r="Q68" s="11">
        <v>470</v>
      </c>
      <c r="R68" s="12">
        <f t="shared" si="9"/>
        <v>23067.599999999999</v>
      </c>
      <c r="S68" s="11"/>
      <c r="T68" s="13"/>
      <c r="V68" s="19" t="s">
        <v>24</v>
      </c>
      <c r="W68" s="11">
        <v>145</v>
      </c>
      <c r="X68" s="14">
        <f t="shared" si="5"/>
        <v>7116.5999999999995</v>
      </c>
      <c r="Y68" s="15">
        <v>260</v>
      </c>
      <c r="Z68" s="15">
        <f t="shared" si="6"/>
        <v>12760.8</v>
      </c>
      <c r="AA68" s="13">
        <f t="shared" si="7"/>
        <v>42945</v>
      </c>
    </row>
    <row r="69" spans="1:28" s="16" customFormat="1" x14ac:dyDescent="0.3">
      <c r="A69" s="18">
        <v>68</v>
      </c>
      <c r="B69" s="8">
        <v>46267</v>
      </c>
      <c r="C69" s="8">
        <v>46268</v>
      </c>
      <c r="D69" s="44">
        <v>260903017</v>
      </c>
      <c r="E69" s="21" t="s">
        <v>201</v>
      </c>
      <c r="F69" s="9" t="s">
        <v>202</v>
      </c>
      <c r="G69" s="9">
        <v>44</v>
      </c>
      <c r="H69" s="41">
        <v>115</v>
      </c>
      <c r="I69" s="26" t="s">
        <v>103</v>
      </c>
      <c r="J69" s="36" t="s">
        <v>23</v>
      </c>
      <c r="K69" s="42" t="s">
        <v>30</v>
      </c>
      <c r="L69" s="17" t="s">
        <v>123</v>
      </c>
      <c r="M69" s="9" t="s">
        <v>31</v>
      </c>
      <c r="N69" s="47">
        <v>60.38</v>
      </c>
      <c r="O69" s="47">
        <v>15.8</v>
      </c>
      <c r="P69" s="10">
        <f t="shared" si="8"/>
        <v>44.58</v>
      </c>
      <c r="Q69" s="11">
        <v>545</v>
      </c>
      <c r="R69" s="12">
        <f t="shared" si="9"/>
        <v>24296.1</v>
      </c>
      <c r="S69" s="11"/>
      <c r="T69" s="13"/>
      <c r="V69" s="19" t="s">
        <v>24</v>
      </c>
      <c r="W69" s="11">
        <v>145</v>
      </c>
      <c r="X69" s="14">
        <f t="shared" si="5"/>
        <v>6464.0999999999995</v>
      </c>
      <c r="Y69" s="15">
        <v>260</v>
      </c>
      <c r="Z69" s="15">
        <f t="shared" si="6"/>
        <v>11590.8</v>
      </c>
      <c r="AA69" s="13">
        <f t="shared" si="7"/>
        <v>42351</v>
      </c>
    </row>
    <row r="70" spans="1:28" s="16" customFormat="1" x14ac:dyDescent="0.3">
      <c r="A70" s="18">
        <v>69</v>
      </c>
      <c r="B70" s="8">
        <v>46267</v>
      </c>
      <c r="C70" s="8">
        <v>46268</v>
      </c>
      <c r="D70" s="44">
        <v>260903018</v>
      </c>
      <c r="E70" s="21" t="s">
        <v>203</v>
      </c>
      <c r="F70" s="9" t="s">
        <v>204</v>
      </c>
      <c r="G70" s="9">
        <v>44</v>
      </c>
      <c r="H70" s="41">
        <v>115</v>
      </c>
      <c r="I70" s="26" t="s">
        <v>103</v>
      </c>
      <c r="J70" s="36" t="s">
        <v>23</v>
      </c>
      <c r="K70" s="42" t="s">
        <v>30</v>
      </c>
      <c r="L70" s="17" t="s">
        <v>205</v>
      </c>
      <c r="M70" s="9" t="s">
        <v>108</v>
      </c>
      <c r="N70" s="47">
        <v>62.28</v>
      </c>
      <c r="O70" s="47">
        <v>17.760000000000002</v>
      </c>
      <c r="P70" s="10">
        <f t="shared" si="8"/>
        <v>44.519999999999996</v>
      </c>
      <c r="Q70" s="11">
        <v>315</v>
      </c>
      <c r="R70" s="12">
        <f t="shared" si="9"/>
        <v>14023.8</v>
      </c>
      <c r="S70" s="11"/>
      <c r="T70" s="13"/>
      <c r="V70" s="19" t="s">
        <v>24</v>
      </c>
      <c r="W70" s="11">
        <v>145</v>
      </c>
      <c r="X70" s="14">
        <f t="shared" si="5"/>
        <v>6455.4</v>
      </c>
      <c r="Y70" s="15">
        <v>260</v>
      </c>
      <c r="Z70" s="15">
        <f t="shared" si="6"/>
        <v>11575.199999999999</v>
      </c>
      <c r="AA70" s="13">
        <f t="shared" si="7"/>
        <v>32054.399999999994</v>
      </c>
    </row>
    <row r="71" spans="1:28" s="16" customFormat="1" x14ac:dyDescent="0.3">
      <c r="A71" s="18">
        <v>70</v>
      </c>
      <c r="B71" s="8">
        <v>46268</v>
      </c>
      <c r="C71" s="8">
        <v>46268</v>
      </c>
      <c r="D71" s="20">
        <v>260903019</v>
      </c>
      <c r="E71" s="22" t="s">
        <v>206</v>
      </c>
      <c r="F71" s="9" t="s">
        <v>207</v>
      </c>
      <c r="G71" s="9">
        <v>44</v>
      </c>
      <c r="H71" s="43">
        <v>42</v>
      </c>
      <c r="I71" s="26" t="s">
        <v>169</v>
      </c>
      <c r="J71" s="27" t="s">
        <v>23</v>
      </c>
      <c r="K71" s="26" t="s">
        <v>30</v>
      </c>
      <c r="L71" s="9" t="s">
        <v>74</v>
      </c>
      <c r="M71" s="9" t="s">
        <v>108</v>
      </c>
      <c r="N71" s="9">
        <v>59.82</v>
      </c>
      <c r="O71" s="9">
        <v>15.82</v>
      </c>
      <c r="P71" s="10">
        <f>N71-O71</f>
        <v>44</v>
      </c>
      <c r="Q71" s="11">
        <v>340</v>
      </c>
      <c r="R71" s="12">
        <f t="shared" si="9"/>
        <v>14960</v>
      </c>
      <c r="S71" s="11"/>
      <c r="T71" s="13"/>
      <c r="V71" s="19" t="s">
        <v>24</v>
      </c>
      <c r="W71" s="11">
        <v>145</v>
      </c>
      <c r="X71" s="14">
        <f t="shared" ref="X71:X105" si="10">P71*W71</f>
        <v>6380</v>
      </c>
      <c r="Y71" s="15">
        <v>260</v>
      </c>
      <c r="Z71" s="15">
        <f t="shared" ref="Z71:Z105" si="11">P71*Y71</f>
        <v>11440</v>
      </c>
      <c r="AA71" s="13">
        <f t="shared" ref="AA71:AA105" si="12">R71+X71+Z71</f>
        <v>32780</v>
      </c>
      <c r="AB71" s="29"/>
    </row>
    <row r="72" spans="1:28" s="16" customFormat="1" x14ac:dyDescent="0.3">
      <c r="A72" s="18">
        <v>71</v>
      </c>
      <c r="B72" s="8">
        <v>46268</v>
      </c>
      <c r="C72" s="8">
        <v>46268</v>
      </c>
      <c r="D72" s="20">
        <v>260903020</v>
      </c>
      <c r="E72" s="22" t="s">
        <v>208</v>
      </c>
      <c r="F72" s="9" t="s">
        <v>209</v>
      </c>
      <c r="G72" s="9">
        <v>48</v>
      </c>
      <c r="H72" s="43">
        <v>42</v>
      </c>
      <c r="I72" s="26" t="s">
        <v>169</v>
      </c>
      <c r="J72" s="27" t="s">
        <v>23</v>
      </c>
      <c r="K72" s="26" t="s">
        <v>30</v>
      </c>
      <c r="L72" s="9" t="s">
        <v>193</v>
      </c>
      <c r="M72" s="9" t="s">
        <v>31</v>
      </c>
      <c r="N72" s="9">
        <v>64.66</v>
      </c>
      <c r="O72" s="9">
        <v>16.440000000000001</v>
      </c>
      <c r="P72" s="10">
        <f>N72-O72</f>
        <v>48.22</v>
      </c>
      <c r="Q72" s="11">
        <v>525</v>
      </c>
      <c r="R72" s="12">
        <f t="shared" si="9"/>
        <v>25315.5</v>
      </c>
      <c r="S72" s="11"/>
      <c r="T72" s="13"/>
      <c r="V72" s="19" t="s">
        <v>24</v>
      </c>
      <c r="W72" s="11">
        <v>145</v>
      </c>
      <c r="X72" s="14">
        <f t="shared" si="10"/>
        <v>6991.9</v>
      </c>
      <c r="Y72" s="15">
        <v>260</v>
      </c>
      <c r="Z72" s="15">
        <f t="shared" si="11"/>
        <v>12537.199999999999</v>
      </c>
      <c r="AA72" s="13">
        <f t="shared" si="12"/>
        <v>44844.6</v>
      </c>
    </row>
    <row r="73" spans="1:28" s="28" customFormat="1" x14ac:dyDescent="0.3">
      <c r="A73" s="18">
        <v>72</v>
      </c>
      <c r="B73" s="8">
        <v>46268</v>
      </c>
      <c r="C73" s="8">
        <v>46268</v>
      </c>
      <c r="D73" s="20">
        <v>260903021</v>
      </c>
      <c r="E73" s="22" t="s">
        <v>210</v>
      </c>
      <c r="F73" s="9" t="s">
        <v>211</v>
      </c>
      <c r="G73" s="9">
        <v>44</v>
      </c>
      <c r="H73" s="43">
        <v>42</v>
      </c>
      <c r="I73" s="26" t="s">
        <v>169</v>
      </c>
      <c r="J73" s="27" t="s">
        <v>23</v>
      </c>
      <c r="K73" s="26" t="s">
        <v>30</v>
      </c>
      <c r="L73" s="9" t="s">
        <v>170</v>
      </c>
      <c r="M73" s="9" t="s">
        <v>173</v>
      </c>
      <c r="N73" s="9">
        <v>59</v>
      </c>
      <c r="O73" s="9">
        <v>14.98</v>
      </c>
      <c r="P73" s="10">
        <f t="shared" ref="P73:P105" si="13">N73-O73</f>
        <v>44.019999999999996</v>
      </c>
      <c r="Q73" s="11">
        <v>470</v>
      </c>
      <c r="R73" s="12">
        <f t="shared" si="9"/>
        <v>20689.399999999998</v>
      </c>
      <c r="S73" s="11"/>
      <c r="T73" s="13"/>
      <c r="V73" s="19" t="s">
        <v>24</v>
      </c>
      <c r="W73" s="11">
        <v>145</v>
      </c>
      <c r="X73" s="14">
        <f t="shared" si="10"/>
        <v>6382.9</v>
      </c>
      <c r="Y73" s="15">
        <v>260</v>
      </c>
      <c r="Z73" s="15">
        <f t="shared" si="11"/>
        <v>11445.199999999999</v>
      </c>
      <c r="AA73" s="13">
        <f t="shared" si="12"/>
        <v>38517.499999999993</v>
      </c>
    </row>
    <row r="74" spans="1:28" s="16" customFormat="1" x14ac:dyDescent="0.3">
      <c r="A74" s="18">
        <v>73</v>
      </c>
      <c r="B74" s="8">
        <v>46268</v>
      </c>
      <c r="C74" s="8">
        <v>46268</v>
      </c>
      <c r="D74" s="20">
        <v>260903022</v>
      </c>
      <c r="E74" s="22" t="s">
        <v>212</v>
      </c>
      <c r="F74" s="9" t="s">
        <v>213</v>
      </c>
      <c r="G74" s="9">
        <v>22</v>
      </c>
      <c r="H74" s="43">
        <v>18</v>
      </c>
      <c r="I74" s="26" t="s">
        <v>140</v>
      </c>
      <c r="J74" s="27" t="s">
        <v>23</v>
      </c>
      <c r="K74" s="26" t="s">
        <v>30</v>
      </c>
      <c r="L74" s="48" t="s">
        <v>141</v>
      </c>
      <c r="M74" s="9" t="s">
        <v>108</v>
      </c>
      <c r="N74" s="9">
        <v>36.86</v>
      </c>
      <c r="O74" s="9">
        <v>14.34</v>
      </c>
      <c r="P74" s="10">
        <f t="shared" si="13"/>
        <v>22.52</v>
      </c>
      <c r="Q74" s="11">
        <v>420</v>
      </c>
      <c r="R74" s="12">
        <f t="shared" si="9"/>
        <v>9458.4</v>
      </c>
      <c r="S74" s="11"/>
      <c r="T74" s="13"/>
      <c r="V74" s="19" t="s">
        <v>24</v>
      </c>
      <c r="W74" s="11">
        <v>145</v>
      </c>
      <c r="X74" s="14">
        <f t="shared" si="10"/>
        <v>3265.4</v>
      </c>
      <c r="Y74" s="15"/>
      <c r="Z74" s="15">
        <f t="shared" si="11"/>
        <v>0</v>
      </c>
      <c r="AA74" s="13">
        <f t="shared" si="12"/>
        <v>12723.8</v>
      </c>
    </row>
    <row r="75" spans="1:28" s="16" customFormat="1" x14ac:dyDescent="0.3">
      <c r="A75" s="18">
        <v>74</v>
      </c>
      <c r="B75" s="8">
        <v>46268</v>
      </c>
      <c r="C75" s="8">
        <v>46268</v>
      </c>
      <c r="D75" s="20">
        <v>260903023</v>
      </c>
      <c r="E75" s="22" t="s">
        <v>214</v>
      </c>
      <c r="F75" s="9" t="s">
        <v>215</v>
      </c>
      <c r="G75" s="9">
        <v>43</v>
      </c>
      <c r="H75" s="41">
        <v>115</v>
      </c>
      <c r="I75" s="26" t="s">
        <v>103</v>
      </c>
      <c r="J75" s="36" t="s">
        <v>23</v>
      </c>
      <c r="K75" s="42" t="s">
        <v>30</v>
      </c>
      <c r="L75" s="48" t="s">
        <v>114</v>
      </c>
      <c r="M75" s="9" t="s">
        <v>108</v>
      </c>
      <c r="N75" s="9">
        <v>59.92</v>
      </c>
      <c r="O75" s="9">
        <v>16</v>
      </c>
      <c r="P75" s="10">
        <f t="shared" si="13"/>
        <v>43.92</v>
      </c>
      <c r="Q75" s="11">
        <v>315</v>
      </c>
      <c r="R75" s="12">
        <f t="shared" si="9"/>
        <v>13834.800000000001</v>
      </c>
      <c r="S75" s="11"/>
      <c r="T75" s="13"/>
      <c r="V75" s="19" t="s">
        <v>24</v>
      </c>
      <c r="W75" s="11">
        <v>145</v>
      </c>
      <c r="X75" s="14">
        <f t="shared" si="10"/>
        <v>6368.4000000000005</v>
      </c>
      <c r="Y75" s="15">
        <v>260</v>
      </c>
      <c r="Z75" s="15">
        <f t="shared" si="11"/>
        <v>11419.2</v>
      </c>
      <c r="AA75" s="13">
        <f t="shared" si="12"/>
        <v>31622.400000000001</v>
      </c>
    </row>
    <row r="76" spans="1:28" s="28" customFormat="1" x14ac:dyDescent="0.3">
      <c r="A76" s="18">
        <v>75</v>
      </c>
      <c r="B76" s="8">
        <v>46268</v>
      </c>
      <c r="C76" s="8">
        <v>46268</v>
      </c>
      <c r="D76" s="20" t="s">
        <v>216</v>
      </c>
      <c r="E76" s="21"/>
      <c r="F76" s="9"/>
      <c r="G76" s="9"/>
      <c r="H76" s="33"/>
      <c r="I76" s="26" t="s">
        <v>217</v>
      </c>
      <c r="J76" s="36" t="s">
        <v>23</v>
      </c>
      <c r="K76" s="42" t="s">
        <v>30</v>
      </c>
      <c r="L76" s="48" t="s">
        <v>218</v>
      </c>
      <c r="M76" s="9" t="s">
        <v>71</v>
      </c>
      <c r="N76" s="9">
        <v>8</v>
      </c>
      <c r="O76" s="9">
        <v>3.42</v>
      </c>
      <c r="P76" s="10">
        <f t="shared" si="13"/>
        <v>4.58</v>
      </c>
      <c r="Q76" s="11">
        <v>270</v>
      </c>
      <c r="R76" s="12">
        <f t="shared" si="9"/>
        <v>1236.5999999999999</v>
      </c>
      <c r="S76" s="11"/>
      <c r="T76" s="13"/>
      <c r="V76" s="19" t="s">
        <v>219</v>
      </c>
      <c r="W76" s="11"/>
      <c r="X76" s="14">
        <f t="shared" si="10"/>
        <v>0</v>
      </c>
      <c r="Y76" s="15"/>
      <c r="Z76" s="15">
        <f t="shared" si="11"/>
        <v>0</v>
      </c>
      <c r="AA76" s="13">
        <f t="shared" si="12"/>
        <v>1236.5999999999999</v>
      </c>
    </row>
    <row r="77" spans="1:28" s="16" customFormat="1" x14ac:dyDescent="0.3">
      <c r="A77" s="18">
        <v>76</v>
      </c>
      <c r="B77" s="8">
        <v>46268</v>
      </c>
      <c r="C77" s="8">
        <v>46268</v>
      </c>
      <c r="D77" s="20">
        <v>260903024</v>
      </c>
      <c r="E77" s="22" t="s">
        <v>220</v>
      </c>
      <c r="F77" s="9" t="s">
        <v>221</v>
      </c>
      <c r="G77" s="9">
        <v>41</v>
      </c>
      <c r="H77" s="41">
        <v>115</v>
      </c>
      <c r="I77" s="26" t="s">
        <v>103</v>
      </c>
      <c r="J77" s="36" t="s">
        <v>23</v>
      </c>
      <c r="K77" s="42" t="s">
        <v>30</v>
      </c>
      <c r="L77" s="48" t="s">
        <v>97</v>
      </c>
      <c r="M77" s="9" t="s">
        <v>31</v>
      </c>
      <c r="N77" s="9">
        <v>55.8</v>
      </c>
      <c r="O77" s="9">
        <v>13.9</v>
      </c>
      <c r="P77" s="10">
        <f t="shared" si="13"/>
        <v>41.9</v>
      </c>
      <c r="Q77" s="11">
        <v>545</v>
      </c>
      <c r="R77" s="12">
        <f t="shared" si="9"/>
        <v>22835.5</v>
      </c>
      <c r="S77" s="11"/>
      <c r="T77" s="13"/>
      <c r="V77" s="19" t="s">
        <v>24</v>
      </c>
      <c r="W77" s="11">
        <v>145</v>
      </c>
      <c r="X77" s="14">
        <f t="shared" si="10"/>
        <v>6075.5</v>
      </c>
      <c r="Y77" s="15">
        <v>260</v>
      </c>
      <c r="Z77" s="15">
        <f t="shared" si="11"/>
        <v>10894</v>
      </c>
      <c r="AA77" s="13">
        <f t="shared" si="12"/>
        <v>39805</v>
      </c>
    </row>
    <row r="78" spans="1:28" s="16" customFormat="1" x14ac:dyDescent="0.3">
      <c r="A78" s="18">
        <v>77</v>
      </c>
      <c r="B78" s="8">
        <v>46268</v>
      </c>
      <c r="C78" s="8">
        <v>46268</v>
      </c>
      <c r="D78" s="20">
        <v>260903025</v>
      </c>
      <c r="E78" s="22" t="s">
        <v>222</v>
      </c>
      <c r="F78" s="9" t="s">
        <v>223</v>
      </c>
      <c r="G78" s="9"/>
      <c r="H78" s="37">
        <v>136</v>
      </c>
      <c r="I78" s="39" t="s">
        <v>69</v>
      </c>
      <c r="J78" s="36" t="s">
        <v>23</v>
      </c>
      <c r="K78" s="26" t="s">
        <v>30</v>
      </c>
      <c r="L78" s="48" t="s">
        <v>70</v>
      </c>
      <c r="M78" s="9" t="s">
        <v>71</v>
      </c>
      <c r="N78" s="9">
        <v>63.34</v>
      </c>
      <c r="O78" s="9">
        <v>15.6</v>
      </c>
      <c r="P78" s="10">
        <f t="shared" si="13"/>
        <v>47.74</v>
      </c>
      <c r="Q78" s="11">
        <v>260</v>
      </c>
      <c r="R78" s="12">
        <f t="shared" si="9"/>
        <v>12412.4</v>
      </c>
      <c r="S78" s="11"/>
      <c r="T78" s="13"/>
      <c r="V78" s="19" t="s">
        <v>24</v>
      </c>
      <c r="W78" s="11"/>
      <c r="X78" s="14">
        <f t="shared" si="10"/>
        <v>0</v>
      </c>
      <c r="Y78" s="15">
        <v>115</v>
      </c>
      <c r="Z78" s="15">
        <f t="shared" si="11"/>
        <v>5490.1</v>
      </c>
      <c r="AA78" s="13">
        <f t="shared" si="12"/>
        <v>17902.5</v>
      </c>
    </row>
    <row r="79" spans="1:28" s="16" customFormat="1" x14ac:dyDescent="0.3">
      <c r="A79" s="18">
        <v>78</v>
      </c>
      <c r="B79" s="8">
        <v>46268</v>
      </c>
      <c r="C79" s="8">
        <v>46268</v>
      </c>
      <c r="D79" s="20">
        <v>260903026</v>
      </c>
      <c r="E79" s="22" t="s">
        <v>224</v>
      </c>
      <c r="F79" s="9" t="s">
        <v>225</v>
      </c>
      <c r="G79" s="9">
        <v>47</v>
      </c>
      <c r="H79" s="41">
        <v>115</v>
      </c>
      <c r="I79" s="26" t="s">
        <v>103</v>
      </c>
      <c r="J79" s="36" t="s">
        <v>23</v>
      </c>
      <c r="K79" s="42" t="s">
        <v>30</v>
      </c>
      <c r="L79" s="48" t="s">
        <v>184</v>
      </c>
      <c r="M79" s="9" t="s">
        <v>31</v>
      </c>
      <c r="N79" s="9">
        <v>64.2</v>
      </c>
      <c r="O79" s="9">
        <v>16.48</v>
      </c>
      <c r="P79" s="10">
        <f t="shared" si="13"/>
        <v>47.72</v>
      </c>
      <c r="Q79" s="11">
        <v>545</v>
      </c>
      <c r="R79" s="12">
        <f t="shared" si="9"/>
        <v>26007.399999999998</v>
      </c>
      <c r="S79" s="11"/>
      <c r="T79" s="13"/>
      <c r="V79" s="19" t="s">
        <v>24</v>
      </c>
      <c r="W79" s="11">
        <v>145</v>
      </c>
      <c r="X79" s="14">
        <f t="shared" si="10"/>
        <v>6919.4</v>
      </c>
      <c r="Y79" s="15">
        <v>260</v>
      </c>
      <c r="Z79" s="15">
        <f t="shared" si="11"/>
        <v>12407.199999999999</v>
      </c>
      <c r="AA79" s="13">
        <f t="shared" si="12"/>
        <v>45333.999999999993</v>
      </c>
    </row>
    <row r="80" spans="1:28" s="16" customFormat="1" x14ac:dyDescent="0.3">
      <c r="A80" s="18">
        <v>79</v>
      </c>
      <c r="B80" s="8">
        <v>46268</v>
      </c>
      <c r="C80" s="8">
        <v>46268</v>
      </c>
      <c r="D80" s="20">
        <v>260903027</v>
      </c>
      <c r="E80" s="22" t="s">
        <v>226</v>
      </c>
      <c r="F80" s="9" t="s">
        <v>227</v>
      </c>
      <c r="G80" s="9"/>
      <c r="H80" s="37">
        <v>136</v>
      </c>
      <c r="I80" s="39" t="s">
        <v>69</v>
      </c>
      <c r="J80" s="36" t="s">
        <v>23</v>
      </c>
      <c r="K80" s="26" t="s">
        <v>30</v>
      </c>
      <c r="L80" s="48" t="s">
        <v>228</v>
      </c>
      <c r="M80" s="9" t="s">
        <v>71</v>
      </c>
      <c r="N80" s="9">
        <v>50</v>
      </c>
      <c r="O80" s="9">
        <v>12.16</v>
      </c>
      <c r="P80" s="10">
        <f t="shared" si="13"/>
        <v>37.840000000000003</v>
      </c>
      <c r="Q80" s="11">
        <v>260</v>
      </c>
      <c r="R80" s="12">
        <f t="shared" si="9"/>
        <v>9838.4000000000015</v>
      </c>
      <c r="S80" s="11"/>
      <c r="T80" s="13"/>
      <c r="V80" s="19" t="s">
        <v>24</v>
      </c>
      <c r="W80" s="11"/>
      <c r="X80" s="14">
        <f t="shared" si="10"/>
        <v>0</v>
      </c>
      <c r="Y80" s="15">
        <v>115</v>
      </c>
      <c r="Z80" s="15">
        <f t="shared" si="11"/>
        <v>4351.6000000000004</v>
      </c>
      <c r="AA80" s="13">
        <f t="shared" si="12"/>
        <v>14190.000000000002</v>
      </c>
    </row>
    <row r="81" spans="1:27" s="16" customFormat="1" x14ac:dyDescent="0.3">
      <c r="A81" s="18">
        <v>80</v>
      </c>
      <c r="B81" s="8">
        <v>46268</v>
      </c>
      <c r="C81" s="8">
        <v>46268</v>
      </c>
      <c r="D81" s="20">
        <v>260903028</v>
      </c>
      <c r="E81" s="22" t="s">
        <v>229</v>
      </c>
      <c r="F81" s="9" t="s">
        <v>230</v>
      </c>
      <c r="G81" s="9"/>
      <c r="H81" s="37">
        <v>136</v>
      </c>
      <c r="I81" s="39" t="s">
        <v>69</v>
      </c>
      <c r="J81" s="36" t="s">
        <v>23</v>
      </c>
      <c r="K81" s="26" t="s">
        <v>30</v>
      </c>
      <c r="L81" s="48" t="s">
        <v>123</v>
      </c>
      <c r="M81" s="9" t="s">
        <v>71</v>
      </c>
      <c r="N81" s="9">
        <v>65.12</v>
      </c>
      <c r="O81" s="9">
        <v>15.96</v>
      </c>
      <c r="P81" s="10">
        <f t="shared" si="13"/>
        <v>49.160000000000004</v>
      </c>
      <c r="Q81" s="11">
        <v>260</v>
      </c>
      <c r="R81" s="12">
        <f t="shared" si="9"/>
        <v>12781.6</v>
      </c>
      <c r="S81" s="11"/>
      <c r="T81" s="13"/>
      <c r="V81" s="19" t="s">
        <v>24</v>
      </c>
      <c r="W81" s="11"/>
      <c r="X81" s="14">
        <f t="shared" si="10"/>
        <v>0</v>
      </c>
      <c r="Y81" s="15">
        <v>115</v>
      </c>
      <c r="Z81" s="15">
        <f t="shared" si="11"/>
        <v>5653.4000000000005</v>
      </c>
      <c r="AA81" s="13">
        <f t="shared" si="12"/>
        <v>18435</v>
      </c>
    </row>
    <row r="82" spans="1:27" s="16" customFormat="1" x14ac:dyDescent="0.3">
      <c r="A82" s="18">
        <v>81</v>
      </c>
      <c r="B82" s="8">
        <v>46268</v>
      </c>
      <c r="C82" s="8">
        <v>46268</v>
      </c>
      <c r="D82" s="40" t="s">
        <v>231</v>
      </c>
      <c r="E82" s="21"/>
      <c r="F82" s="9"/>
      <c r="G82" s="21"/>
      <c r="I82" s="31" t="s">
        <v>232</v>
      </c>
      <c r="J82" s="36" t="s">
        <v>23</v>
      </c>
      <c r="K82" s="26" t="s">
        <v>30</v>
      </c>
      <c r="L82" s="48" t="s">
        <v>43</v>
      </c>
      <c r="M82" s="9" t="s">
        <v>233</v>
      </c>
      <c r="N82" s="9">
        <v>24.14</v>
      </c>
      <c r="O82" s="9">
        <v>15.2</v>
      </c>
      <c r="P82" s="10">
        <f t="shared" si="13"/>
        <v>8.9400000000000013</v>
      </c>
      <c r="Q82" s="11">
        <v>0</v>
      </c>
      <c r="R82" s="12">
        <f t="shared" si="9"/>
        <v>0</v>
      </c>
      <c r="S82" s="11"/>
      <c r="T82" s="13"/>
      <c r="V82" s="19" t="s">
        <v>24</v>
      </c>
      <c r="W82" s="11"/>
      <c r="X82" s="14">
        <f t="shared" si="10"/>
        <v>0</v>
      </c>
      <c r="Y82" s="15"/>
      <c r="Z82" s="15">
        <f t="shared" si="11"/>
        <v>0</v>
      </c>
      <c r="AA82" s="13">
        <f t="shared" si="12"/>
        <v>0</v>
      </c>
    </row>
    <row r="83" spans="1:27" s="16" customFormat="1" x14ac:dyDescent="0.3">
      <c r="A83" s="18">
        <v>82</v>
      </c>
      <c r="B83" s="8">
        <v>46268</v>
      </c>
      <c r="C83" s="8">
        <v>46268</v>
      </c>
      <c r="D83" s="20" t="s">
        <v>234</v>
      </c>
      <c r="E83" s="21"/>
      <c r="F83" s="9"/>
      <c r="G83" s="9"/>
      <c r="H83" s="31"/>
      <c r="I83" s="31" t="s">
        <v>232</v>
      </c>
      <c r="J83" s="36" t="s">
        <v>23</v>
      </c>
      <c r="K83" s="26" t="s">
        <v>30</v>
      </c>
      <c r="L83" s="48" t="s">
        <v>235</v>
      </c>
      <c r="M83" s="9" t="s">
        <v>233</v>
      </c>
      <c r="N83" s="9">
        <v>24.54</v>
      </c>
      <c r="O83" s="9">
        <v>13.98</v>
      </c>
      <c r="P83" s="10">
        <f t="shared" si="13"/>
        <v>10.559999999999999</v>
      </c>
      <c r="Q83" s="11">
        <v>0</v>
      </c>
      <c r="R83" s="12">
        <f t="shared" si="9"/>
        <v>0</v>
      </c>
      <c r="S83" s="11"/>
      <c r="T83" s="13"/>
      <c r="V83" s="19" t="s">
        <v>24</v>
      </c>
      <c r="W83" s="11"/>
      <c r="X83" s="14">
        <f t="shared" si="10"/>
        <v>0</v>
      </c>
      <c r="Y83" s="15"/>
      <c r="Z83" s="15">
        <f t="shared" si="11"/>
        <v>0</v>
      </c>
      <c r="AA83" s="13">
        <f t="shared" si="12"/>
        <v>0</v>
      </c>
    </row>
    <row r="84" spans="1:27" s="16" customFormat="1" x14ac:dyDescent="0.3">
      <c r="A84" s="18">
        <v>83</v>
      </c>
      <c r="B84" s="8">
        <v>46268</v>
      </c>
      <c r="C84" s="8">
        <v>46268</v>
      </c>
      <c r="D84" s="20" t="s">
        <v>236</v>
      </c>
      <c r="E84" s="21"/>
      <c r="F84" s="9"/>
      <c r="G84" s="9"/>
      <c r="H84" s="31"/>
      <c r="I84" s="31" t="s">
        <v>232</v>
      </c>
      <c r="J84" s="36" t="s">
        <v>23</v>
      </c>
      <c r="K84" s="26" t="s">
        <v>30</v>
      </c>
      <c r="L84" s="48" t="s">
        <v>39</v>
      </c>
      <c r="M84" s="9" t="s">
        <v>233</v>
      </c>
      <c r="N84" s="9">
        <v>23.16</v>
      </c>
      <c r="O84" s="9">
        <v>15.4</v>
      </c>
      <c r="P84" s="10">
        <f t="shared" si="13"/>
        <v>7.76</v>
      </c>
      <c r="Q84" s="11">
        <v>0</v>
      </c>
      <c r="R84" s="12">
        <f t="shared" si="9"/>
        <v>0</v>
      </c>
      <c r="S84" s="11"/>
      <c r="T84" s="13"/>
      <c r="V84" s="19" t="s">
        <v>24</v>
      </c>
      <c r="W84" s="11"/>
      <c r="X84" s="14">
        <f t="shared" si="10"/>
        <v>0</v>
      </c>
      <c r="Y84" s="15"/>
      <c r="Z84" s="15">
        <f t="shared" si="11"/>
        <v>0</v>
      </c>
      <c r="AA84" s="13">
        <f t="shared" si="12"/>
        <v>0</v>
      </c>
    </row>
    <row r="85" spans="1:27" s="16" customFormat="1" x14ac:dyDescent="0.3">
      <c r="A85" s="18">
        <v>84</v>
      </c>
      <c r="B85" s="8">
        <v>46268</v>
      </c>
      <c r="C85" s="8">
        <v>46268</v>
      </c>
      <c r="D85" s="20">
        <v>260903029</v>
      </c>
      <c r="E85" s="22" t="s">
        <v>237</v>
      </c>
      <c r="F85" s="9" t="s">
        <v>238</v>
      </c>
      <c r="G85" s="9"/>
      <c r="H85" s="37">
        <v>136</v>
      </c>
      <c r="I85" s="39" t="s">
        <v>69</v>
      </c>
      <c r="J85" s="36" t="s">
        <v>23</v>
      </c>
      <c r="K85" s="26" t="s">
        <v>30</v>
      </c>
      <c r="L85" s="48" t="s">
        <v>239</v>
      </c>
      <c r="M85" s="9" t="s">
        <v>71</v>
      </c>
      <c r="N85" s="9">
        <v>64.8</v>
      </c>
      <c r="O85" s="9">
        <v>15.38</v>
      </c>
      <c r="P85" s="10">
        <f t="shared" si="13"/>
        <v>49.419999999999995</v>
      </c>
      <c r="Q85" s="11">
        <v>260</v>
      </c>
      <c r="R85" s="12">
        <f t="shared" si="9"/>
        <v>12849.199999999999</v>
      </c>
      <c r="S85" s="11"/>
      <c r="T85" s="13"/>
      <c r="V85" s="19" t="s">
        <v>24</v>
      </c>
      <c r="W85" s="11"/>
      <c r="X85" s="14">
        <f t="shared" si="10"/>
        <v>0</v>
      </c>
      <c r="Y85" s="15">
        <v>115</v>
      </c>
      <c r="Z85" s="15">
        <f t="shared" si="11"/>
        <v>5683.2999999999993</v>
      </c>
      <c r="AA85" s="13">
        <f t="shared" si="12"/>
        <v>18532.5</v>
      </c>
    </row>
    <row r="86" spans="1:27" s="16" customFormat="1" x14ac:dyDescent="0.3">
      <c r="A86" s="18">
        <v>85</v>
      </c>
      <c r="B86" s="8">
        <v>46268</v>
      </c>
      <c r="C86" s="8">
        <v>46268</v>
      </c>
      <c r="D86" s="20" t="s">
        <v>240</v>
      </c>
      <c r="E86" s="21"/>
      <c r="F86" s="9" t="s">
        <v>241</v>
      </c>
      <c r="G86" s="9">
        <v>34</v>
      </c>
      <c r="H86" s="34">
        <v>285</v>
      </c>
      <c r="I86" s="35" t="s">
        <v>52</v>
      </c>
      <c r="J86" s="36" t="s">
        <v>23</v>
      </c>
      <c r="K86" s="26" t="s">
        <v>30</v>
      </c>
      <c r="L86" s="11" t="s">
        <v>242</v>
      </c>
      <c r="M86" s="16" t="s">
        <v>31</v>
      </c>
      <c r="N86" s="9">
        <v>46.12</v>
      </c>
      <c r="O86" s="9">
        <v>11.86</v>
      </c>
      <c r="P86" s="10">
        <f t="shared" si="13"/>
        <v>34.26</v>
      </c>
      <c r="Q86" s="11">
        <v>500</v>
      </c>
      <c r="R86" s="12">
        <f t="shared" si="9"/>
        <v>17130</v>
      </c>
      <c r="S86" s="11"/>
      <c r="T86" s="13"/>
      <c r="V86" s="19" t="s">
        <v>54</v>
      </c>
      <c r="W86" s="11"/>
      <c r="X86" s="14">
        <f t="shared" si="10"/>
        <v>0</v>
      </c>
      <c r="Y86" s="15"/>
      <c r="Z86" s="15">
        <f t="shared" si="11"/>
        <v>0</v>
      </c>
      <c r="AA86" s="13">
        <f t="shared" si="12"/>
        <v>17130</v>
      </c>
    </row>
    <row r="87" spans="1:27" s="16" customFormat="1" x14ac:dyDescent="0.3">
      <c r="A87" s="18">
        <v>86</v>
      </c>
      <c r="B87" s="8">
        <v>46268</v>
      </c>
      <c r="C87" s="8">
        <v>46268</v>
      </c>
      <c r="D87" s="20">
        <v>260903030</v>
      </c>
      <c r="E87" s="22" t="s">
        <v>243</v>
      </c>
      <c r="F87" s="9" t="s">
        <v>244</v>
      </c>
      <c r="G87" s="9"/>
      <c r="H87" s="37">
        <v>136</v>
      </c>
      <c r="I87" s="39" t="s">
        <v>69</v>
      </c>
      <c r="J87" s="36" t="s">
        <v>23</v>
      </c>
      <c r="K87" s="26" t="s">
        <v>30</v>
      </c>
      <c r="L87" s="48" t="s">
        <v>70</v>
      </c>
      <c r="M87" s="9" t="s">
        <v>71</v>
      </c>
      <c r="N87" s="9">
        <v>64.16</v>
      </c>
      <c r="O87" s="9">
        <v>15.7</v>
      </c>
      <c r="P87" s="10">
        <f t="shared" si="13"/>
        <v>48.459999999999994</v>
      </c>
      <c r="Q87" s="11">
        <v>260</v>
      </c>
      <c r="R87" s="12">
        <f t="shared" si="9"/>
        <v>12599.599999999999</v>
      </c>
      <c r="S87" s="11"/>
      <c r="T87" s="13"/>
      <c r="V87" s="19" t="s">
        <v>24</v>
      </c>
      <c r="W87" s="11"/>
      <c r="X87" s="14">
        <f t="shared" si="10"/>
        <v>0</v>
      </c>
      <c r="Y87" s="15">
        <v>115</v>
      </c>
      <c r="Z87" s="15">
        <f t="shared" si="11"/>
        <v>5572.9</v>
      </c>
      <c r="AA87" s="13">
        <f t="shared" si="12"/>
        <v>18172.5</v>
      </c>
    </row>
    <row r="88" spans="1:27" s="16" customFormat="1" x14ac:dyDescent="0.3">
      <c r="A88" s="18">
        <v>87</v>
      </c>
      <c r="B88" s="8">
        <v>46268</v>
      </c>
      <c r="C88" s="8">
        <v>46268</v>
      </c>
      <c r="D88" s="20">
        <v>260903031</v>
      </c>
      <c r="E88" s="22" t="s">
        <v>245</v>
      </c>
      <c r="F88" s="9" t="s">
        <v>246</v>
      </c>
      <c r="G88" s="9"/>
      <c r="H88" s="37">
        <v>136</v>
      </c>
      <c r="I88" s="39" t="s">
        <v>69</v>
      </c>
      <c r="J88" s="36" t="s">
        <v>23</v>
      </c>
      <c r="K88" s="26" t="s">
        <v>30</v>
      </c>
      <c r="L88" s="48" t="s">
        <v>74</v>
      </c>
      <c r="M88" s="9" t="s">
        <v>71</v>
      </c>
      <c r="N88" s="9">
        <v>65.7</v>
      </c>
      <c r="O88" s="9">
        <v>15.7</v>
      </c>
      <c r="P88" s="10">
        <f t="shared" si="13"/>
        <v>50</v>
      </c>
      <c r="Q88" s="11">
        <v>260</v>
      </c>
      <c r="R88" s="12">
        <f t="shared" si="9"/>
        <v>13000</v>
      </c>
      <c r="S88" s="11"/>
      <c r="T88" s="13"/>
      <c r="V88" s="19" t="s">
        <v>24</v>
      </c>
      <c r="W88" s="11"/>
      <c r="X88" s="14">
        <f t="shared" si="10"/>
        <v>0</v>
      </c>
      <c r="Y88" s="15">
        <v>115</v>
      </c>
      <c r="Z88" s="15">
        <f t="shared" si="11"/>
        <v>5750</v>
      </c>
      <c r="AA88" s="13">
        <f t="shared" si="12"/>
        <v>18750</v>
      </c>
    </row>
    <row r="89" spans="1:27" s="16" customFormat="1" x14ac:dyDescent="0.3">
      <c r="A89" s="18">
        <v>88</v>
      </c>
      <c r="B89" s="8">
        <v>46268</v>
      </c>
      <c r="C89" s="8">
        <v>46268</v>
      </c>
      <c r="D89" s="20">
        <v>260903032</v>
      </c>
      <c r="E89" s="22" t="s">
        <v>247</v>
      </c>
      <c r="F89" s="9" t="s">
        <v>248</v>
      </c>
      <c r="G89" s="9">
        <v>22</v>
      </c>
      <c r="H89" s="43">
        <v>18</v>
      </c>
      <c r="I89" s="26" t="s">
        <v>140</v>
      </c>
      <c r="J89" s="27" t="s">
        <v>23</v>
      </c>
      <c r="K89" s="26" t="s">
        <v>30</v>
      </c>
      <c r="L89" s="48" t="s">
        <v>141</v>
      </c>
      <c r="M89" s="9" t="s">
        <v>71</v>
      </c>
      <c r="N89" s="9">
        <v>36.5</v>
      </c>
      <c r="O89" s="9">
        <v>14.2</v>
      </c>
      <c r="P89" s="10">
        <f t="shared" si="13"/>
        <v>22.3</v>
      </c>
      <c r="Q89" s="11">
        <v>365</v>
      </c>
      <c r="R89" s="12">
        <f t="shared" si="9"/>
        <v>8139.5</v>
      </c>
      <c r="S89" s="11"/>
      <c r="T89" s="13"/>
      <c r="V89" s="19" t="s">
        <v>24</v>
      </c>
      <c r="W89" s="11">
        <v>145</v>
      </c>
      <c r="X89" s="14">
        <f t="shared" si="10"/>
        <v>3233.5</v>
      </c>
      <c r="Y89" s="15"/>
      <c r="Z89" s="15">
        <f t="shared" si="11"/>
        <v>0</v>
      </c>
      <c r="AA89" s="13">
        <f t="shared" si="12"/>
        <v>11373</v>
      </c>
    </row>
    <row r="90" spans="1:27" s="16" customFormat="1" x14ac:dyDescent="0.3">
      <c r="A90" s="18">
        <v>89</v>
      </c>
      <c r="B90" s="8">
        <v>46268</v>
      </c>
      <c r="C90" s="8">
        <v>46269</v>
      </c>
      <c r="D90" s="44">
        <v>260904001</v>
      </c>
      <c r="E90" s="22" t="s">
        <v>249</v>
      </c>
      <c r="F90" s="9" t="s">
        <v>250</v>
      </c>
      <c r="G90" s="9"/>
      <c r="H90" s="37">
        <v>136</v>
      </c>
      <c r="I90" s="39" t="s">
        <v>69</v>
      </c>
      <c r="J90" s="36" t="s">
        <v>23</v>
      </c>
      <c r="K90" s="26" t="s">
        <v>30</v>
      </c>
      <c r="L90" s="48" t="s">
        <v>228</v>
      </c>
      <c r="M90" s="9" t="s">
        <v>71</v>
      </c>
      <c r="N90" s="9">
        <v>50.34</v>
      </c>
      <c r="O90" s="9">
        <v>12.16</v>
      </c>
      <c r="P90" s="10">
        <f t="shared" si="13"/>
        <v>38.180000000000007</v>
      </c>
      <c r="Q90" s="11">
        <v>260</v>
      </c>
      <c r="R90" s="12">
        <f t="shared" si="9"/>
        <v>9926.8000000000011</v>
      </c>
      <c r="S90" s="11"/>
      <c r="T90" s="13"/>
      <c r="V90" s="19" t="s">
        <v>24</v>
      </c>
      <c r="W90" s="11"/>
      <c r="X90" s="14">
        <f t="shared" si="10"/>
        <v>0</v>
      </c>
      <c r="Y90" s="15">
        <v>115</v>
      </c>
      <c r="Z90" s="15">
        <f t="shared" si="11"/>
        <v>4390.7000000000007</v>
      </c>
      <c r="AA90" s="13">
        <f t="shared" si="12"/>
        <v>14317.500000000002</v>
      </c>
    </row>
    <row r="91" spans="1:27" s="16" customFormat="1" x14ac:dyDescent="0.3">
      <c r="A91" s="18">
        <v>90</v>
      </c>
      <c r="B91" s="8">
        <v>46268</v>
      </c>
      <c r="C91" s="8">
        <v>46269</v>
      </c>
      <c r="D91" s="44">
        <v>260904002</v>
      </c>
      <c r="E91" s="21"/>
      <c r="F91" s="9"/>
      <c r="G91" s="9"/>
      <c r="H91" s="32"/>
      <c r="I91" s="26" t="s">
        <v>251</v>
      </c>
      <c r="J91" s="36" t="s">
        <v>23</v>
      </c>
      <c r="K91" s="26" t="s">
        <v>30</v>
      </c>
      <c r="L91" s="48" t="s">
        <v>252</v>
      </c>
      <c r="M91" s="9" t="s">
        <v>31</v>
      </c>
      <c r="N91" s="9">
        <v>19.02</v>
      </c>
      <c r="O91" s="9">
        <v>7.2</v>
      </c>
      <c r="P91" s="10">
        <f t="shared" si="13"/>
        <v>11.82</v>
      </c>
      <c r="Q91" s="11">
        <v>550</v>
      </c>
      <c r="R91" s="12">
        <f t="shared" si="9"/>
        <v>6501</v>
      </c>
      <c r="S91" s="11"/>
      <c r="T91" s="13"/>
      <c r="V91" s="19" t="s">
        <v>181</v>
      </c>
      <c r="W91" s="11"/>
      <c r="X91" s="14">
        <f t="shared" si="10"/>
        <v>0</v>
      </c>
      <c r="Y91" s="15"/>
      <c r="Z91" s="15">
        <f t="shared" si="11"/>
        <v>0</v>
      </c>
      <c r="AA91" s="13">
        <f t="shared" si="12"/>
        <v>6501</v>
      </c>
    </row>
    <row r="92" spans="1:27" s="16" customFormat="1" x14ac:dyDescent="0.3">
      <c r="A92" s="18">
        <v>91</v>
      </c>
      <c r="B92" s="8">
        <v>46268</v>
      </c>
      <c r="C92" s="8">
        <v>46269</v>
      </c>
      <c r="D92" s="44">
        <v>260904003</v>
      </c>
      <c r="E92" s="22" t="s">
        <v>253</v>
      </c>
      <c r="F92" s="9" t="s">
        <v>254</v>
      </c>
      <c r="G92" s="9">
        <v>22</v>
      </c>
      <c r="H92" s="43">
        <v>18</v>
      </c>
      <c r="I92" s="26" t="s">
        <v>140</v>
      </c>
      <c r="J92" s="27" t="s">
        <v>23</v>
      </c>
      <c r="K92" s="26" t="s">
        <v>30</v>
      </c>
      <c r="L92" s="48" t="s">
        <v>144</v>
      </c>
      <c r="M92" s="9" t="s">
        <v>71</v>
      </c>
      <c r="N92" s="9">
        <v>36.68</v>
      </c>
      <c r="O92" s="9">
        <v>14.2</v>
      </c>
      <c r="P92" s="10">
        <f t="shared" si="13"/>
        <v>22.48</v>
      </c>
      <c r="Q92" s="11">
        <v>365</v>
      </c>
      <c r="R92" s="12">
        <f t="shared" si="9"/>
        <v>8205.2000000000007</v>
      </c>
      <c r="S92" s="11"/>
      <c r="T92" s="13"/>
      <c r="V92" s="19" t="s">
        <v>24</v>
      </c>
      <c r="W92" s="11">
        <v>145</v>
      </c>
      <c r="X92" s="14">
        <f t="shared" si="10"/>
        <v>3259.6</v>
      </c>
      <c r="Y92" s="15"/>
      <c r="Z92" s="15">
        <f t="shared" si="11"/>
        <v>0</v>
      </c>
      <c r="AA92" s="13">
        <f t="shared" si="12"/>
        <v>11464.800000000001</v>
      </c>
    </row>
    <row r="93" spans="1:27" s="16" customFormat="1" x14ac:dyDescent="0.3">
      <c r="A93" s="18">
        <v>92</v>
      </c>
      <c r="B93" s="8">
        <v>46268</v>
      </c>
      <c r="C93" s="8">
        <v>46269</v>
      </c>
      <c r="D93" s="44">
        <v>260904004</v>
      </c>
      <c r="E93" s="22" t="s">
        <v>255</v>
      </c>
      <c r="F93" s="9" t="s">
        <v>256</v>
      </c>
      <c r="G93" s="9"/>
      <c r="H93" s="37">
        <v>136</v>
      </c>
      <c r="I93" s="39" t="s">
        <v>69</v>
      </c>
      <c r="J93" s="36" t="s">
        <v>23</v>
      </c>
      <c r="K93" s="26" t="s">
        <v>30</v>
      </c>
      <c r="L93" s="17" t="s">
        <v>257</v>
      </c>
      <c r="M93" s="9" t="s">
        <v>71</v>
      </c>
      <c r="N93" s="9">
        <v>51.24</v>
      </c>
      <c r="O93" s="9">
        <v>11.52</v>
      </c>
      <c r="P93" s="10">
        <f t="shared" si="13"/>
        <v>39.72</v>
      </c>
      <c r="Q93" s="11">
        <v>260</v>
      </c>
      <c r="R93" s="12">
        <f t="shared" si="9"/>
        <v>10327.199999999999</v>
      </c>
      <c r="S93" s="11"/>
      <c r="T93" s="13"/>
      <c r="V93" s="19" t="s">
        <v>24</v>
      </c>
      <c r="W93" s="11"/>
      <c r="X93" s="14">
        <f t="shared" si="10"/>
        <v>0</v>
      </c>
      <c r="Y93" s="15">
        <v>115</v>
      </c>
      <c r="Z93" s="15">
        <f t="shared" si="11"/>
        <v>4567.8</v>
      </c>
      <c r="AA93" s="13">
        <f t="shared" si="12"/>
        <v>14895</v>
      </c>
    </row>
    <row r="94" spans="1:27" s="16" customFormat="1" x14ac:dyDescent="0.3">
      <c r="A94" s="18">
        <v>93</v>
      </c>
      <c r="B94" s="8">
        <v>46268</v>
      </c>
      <c r="C94" s="8">
        <v>46269</v>
      </c>
      <c r="D94" s="44">
        <v>260904005</v>
      </c>
      <c r="E94" s="22" t="s">
        <v>258</v>
      </c>
      <c r="F94" s="9" t="s">
        <v>259</v>
      </c>
      <c r="G94" s="9">
        <v>44</v>
      </c>
      <c r="H94" s="43">
        <v>42</v>
      </c>
      <c r="I94" s="26" t="s">
        <v>169</v>
      </c>
      <c r="J94" s="27" t="s">
        <v>23</v>
      </c>
      <c r="K94" s="26" t="s">
        <v>30</v>
      </c>
      <c r="L94" s="17" t="s">
        <v>170</v>
      </c>
      <c r="M94" s="9" t="s">
        <v>108</v>
      </c>
      <c r="N94" s="9">
        <v>59.54</v>
      </c>
      <c r="O94" s="9">
        <v>15.02</v>
      </c>
      <c r="P94" s="10">
        <f t="shared" si="13"/>
        <v>44.519999999999996</v>
      </c>
      <c r="Q94" s="11">
        <v>285</v>
      </c>
      <c r="R94" s="12">
        <f t="shared" si="9"/>
        <v>12688.199999999999</v>
      </c>
      <c r="S94" s="11"/>
      <c r="T94" s="13"/>
      <c r="V94" s="19" t="s">
        <v>24</v>
      </c>
      <c r="W94" s="11">
        <v>145</v>
      </c>
      <c r="X94" s="14">
        <f t="shared" si="10"/>
        <v>6455.4</v>
      </c>
      <c r="Y94" s="15">
        <v>260</v>
      </c>
      <c r="Z94" s="15">
        <f t="shared" si="11"/>
        <v>11575.199999999999</v>
      </c>
      <c r="AA94" s="13">
        <f t="shared" si="12"/>
        <v>30718.799999999996</v>
      </c>
    </row>
    <row r="95" spans="1:27" s="16" customFormat="1" x14ac:dyDescent="0.3">
      <c r="A95" s="18">
        <v>94</v>
      </c>
      <c r="B95" s="8">
        <v>46268</v>
      </c>
      <c r="C95" s="8">
        <v>46269</v>
      </c>
      <c r="D95" s="44">
        <v>260904006</v>
      </c>
      <c r="E95" s="22" t="s">
        <v>260</v>
      </c>
      <c r="F95" s="9" t="s">
        <v>261</v>
      </c>
      <c r="G95" s="9">
        <v>44</v>
      </c>
      <c r="H95" s="43">
        <v>42</v>
      </c>
      <c r="I95" s="26" t="s">
        <v>169</v>
      </c>
      <c r="J95" s="27" t="s">
        <v>23</v>
      </c>
      <c r="K95" s="26" t="s">
        <v>30</v>
      </c>
      <c r="L95" s="17" t="s">
        <v>200</v>
      </c>
      <c r="M95" s="9" t="s">
        <v>31</v>
      </c>
      <c r="N95" s="9">
        <v>60.54</v>
      </c>
      <c r="O95" s="9">
        <v>15.86</v>
      </c>
      <c r="P95" s="10">
        <f t="shared" si="13"/>
        <v>44.68</v>
      </c>
      <c r="Q95" s="11">
        <v>525</v>
      </c>
      <c r="R95" s="12">
        <f t="shared" si="9"/>
        <v>23457</v>
      </c>
      <c r="S95" s="11"/>
      <c r="T95" s="13"/>
      <c r="V95" s="19" t="s">
        <v>24</v>
      </c>
      <c r="W95" s="11">
        <v>145</v>
      </c>
      <c r="X95" s="14">
        <f t="shared" si="10"/>
        <v>6478.6</v>
      </c>
      <c r="Y95" s="15">
        <v>260</v>
      </c>
      <c r="Z95" s="15">
        <f t="shared" si="11"/>
        <v>11616.8</v>
      </c>
      <c r="AA95" s="13">
        <f t="shared" si="12"/>
        <v>41552.399999999994</v>
      </c>
    </row>
    <row r="96" spans="1:27" s="16" customFormat="1" x14ac:dyDescent="0.3">
      <c r="A96" s="18">
        <v>95</v>
      </c>
      <c r="B96" s="8">
        <v>46268</v>
      </c>
      <c r="C96" s="8">
        <v>46269</v>
      </c>
      <c r="D96" s="44">
        <v>260904007</v>
      </c>
      <c r="E96" s="22" t="s">
        <v>262</v>
      </c>
      <c r="F96" s="9" t="s">
        <v>263</v>
      </c>
      <c r="G96" s="9">
        <v>38</v>
      </c>
      <c r="H96" s="43">
        <v>42</v>
      </c>
      <c r="I96" s="26" t="s">
        <v>169</v>
      </c>
      <c r="J96" s="27" t="s">
        <v>23</v>
      </c>
      <c r="K96" s="26" t="s">
        <v>30</v>
      </c>
      <c r="L96" s="45" t="s">
        <v>162</v>
      </c>
      <c r="M96" s="9" t="s">
        <v>173</v>
      </c>
      <c r="N96" s="9">
        <v>49.78</v>
      </c>
      <c r="O96" s="9">
        <v>11.68</v>
      </c>
      <c r="P96" s="10">
        <f t="shared" si="13"/>
        <v>38.1</v>
      </c>
      <c r="Q96" s="11">
        <v>470</v>
      </c>
      <c r="R96" s="12">
        <f t="shared" si="9"/>
        <v>17907</v>
      </c>
      <c r="S96" s="11"/>
      <c r="T96" s="13"/>
      <c r="V96" s="19" t="s">
        <v>24</v>
      </c>
      <c r="W96" s="11">
        <v>145</v>
      </c>
      <c r="X96" s="14">
        <f t="shared" si="10"/>
        <v>5524.5</v>
      </c>
      <c r="Y96" s="15">
        <v>260</v>
      </c>
      <c r="Z96" s="15">
        <f t="shared" si="11"/>
        <v>9906</v>
      </c>
      <c r="AA96" s="13">
        <f t="shared" si="12"/>
        <v>33337.5</v>
      </c>
    </row>
    <row r="97" spans="1:28" s="16" customFormat="1" x14ac:dyDescent="0.3">
      <c r="A97" s="18">
        <v>96</v>
      </c>
      <c r="B97" s="8">
        <v>46268</v>
      </c>
      <c r="C97" s="8">
        <v>46269</v>
      </c>
      <c r="D97" s="44">
        <v>260904008</v>
      </c>
      <c r="E97" s="22" t="s">
        <v>264</v>
      </c>
      <c r="F97" s="9" t="s">
        <v>265</v>
      </c>
      <c r="G97" s="9">
        <v>36</v>
      </c>
      <c r="H97" s="43">
        <v>42</v>
      </c>
      <c r="I97" s="26" t="s">
        <v>169</v>
      </c>
      <c r="J97" s="27" t="s">
        <v>23</v>
      </c>
      <c r="K97" s="26" t="s">
        <v>30</v>
      </c>
      <c r="L97" s="45" t="s">
        <v>104</v>
      </c>
      <c r="M97" s="9" t="s">
        <v>173</v>
      </c>
      <c r="N97" s="9">
        <v>48.6</v>
      </c>
      <c r="O97" s="9">
        <v>11.72</v>
      </c>
      <c r="P97" s="10">
        <f t="shared" si="13"/>
        <v>36.880000000000003</v>
      </c>
      <c r="Q97" s="11">
        <v>470</v>
      </c>
      <c r="R97" s="12">
        <f t="shared" si="9"/>
        <v>17333.600000000002</v>
      </c>
      <c r="S97" s="11"/>
      <c r="T97" s="13"/>
      <c r="V97" s="19" t="s">
        <v>24</v>
      </c>
      <c r="W97" s="11">
        <v>145</v>
      </c>
      <c r="X97" s="14">
        <f t="shared" si="10"/>
        <v>5347.6</v>
      </c>
      <c r="Y97" s="15">
        <v>260</v>
      </c>
      <c r="Z97" s="15">
        <f t="shared" si="11"/>
        <v>9588.8000000000011</v>
      </c>
      <c r="AA97" s="13">
        <f t="shared" si="12"/>
        <v>32270.000000000007</v>
      </c>
    </row>
    <row r="98" spans="1:28" s="16" customFormat="1" x14ac:dyDescent="0.3">
      <c r="A98" s="18">
        <v>97</v>
      </c>
      <c r="B98" s="8">
        <v>46268</v>
      </c>
      <c r="C98" s="8">
        <v>46269</v>
      </c>
      <c r="D98" s="44">
        <v>260904009</v>
      </c>
      <c r="E98" s="22" t="s">
        <v>266</v>
      </c>
      <c r="F98" s="9" t="s">
        <v>267</v>
      </c>
      <c r="G98" s="9">
        <v>45</v>
      </c>
      <c r="H98" s="43">
        <v>42</v>
      </c>
      <c r="I98" s="26" t="s">
        <v>169</v>
      </c>
      <c r="J98" s="27" t="s">
        <v>23</v>
      </c>
      <c r="K98" s="26" t="s">
        <v>30</v>
      </c>
      <c r="L98" s="45" t="s">
        <v>184</v>
      </c>
      <c r="M98" s="9" t="s">
        <v>108</v>
      </c>
      <c r="N98" s="9">
        <v>61.8</v>
      </c>
      <c r="O98" s="9">
        <v>16.440000000000001</v>
      </c>
      <c r="P98" s="10">
        <f t="shared" si="13"/>
        <v>45.36</v>
      </c>
      <c r="Q98" s="11">
        <v>285</v>
      </c>
      <c r="R98" s="12">
        <f t="shared" si="9"/>
        <v>12927.6</v>
      </c>
      <c r="S98" s="11"/>
      <c r="T98" s="13"/>
      <c r="V98" s="19" t="s">
        <v>24</v>
      </c>
      <c r="W98" s="11">
        <v>145</v>
      </c>
      <c r="X98" s="14">
        <f t="shared" si="10"/>
        <v>6577.2</v>
      </c>
      <c r="Y98" s="15">
        <v>260</v>
      </c>
      <c r="Z98" s="15">
        <f t="shared" si="11"/>
        <v>11793.6</v>
      </c>
      <c r="AA98" s="13">
        <f t="shared" si="12"/>
        <v>31298.400000000001</v>
      </c>
    </row>
    <row r="99" spans="1:28" s="16" customFormat="1" x14ac:dyDescent="0.3">
      <c r="A99" s="18">
        <v>98</v>
      </c>
      <c r="B99" s="8">
        <v>46268</v>
      </c>
      <c r="C99" s="8">
        <v>46269</v>
      </c>
      <c r="D99" s="44">
        <v>260904010</v>
      </c>
      <c r="E99" s="22" t="s">
        <v>268</v>
      </c>
      <c r="F99" s="9" t="s">
        <v>269</v>
      </c>
      <c r="G99" s="9">
        <v>35</v>
      </c>
      <c r="H99" s="43">
        <v>42</v>
      </c>
      <c r="I99" s="26" t="s">
        <v>169</v>
      </c>
      <c r="J99" s="27" t="s">
        <v>23</v>
      </c>
      <c r="K99" s="26" t="s">
        <v>30</v>
      </c>
      <c r="L99" s="45" t="s">
        <v>111</v>
      </c>
      <c r="M99" s="9" t="s">
        <v>173</v>
      </c>
      <c r="N99" s="9">
        <v>47.7</v>
      </c>
      <c r="O99" s="9">
        <v>11.74</v>
      </c>
      <c r="P99" s="10">
        <f t="shared" si="13"/>
        <v>35.96</v>
      </c>
      <c r="Q99" s="11">
        <v>470</v>
      </c>
      <c r="R99" s="12">
        <f t="shared" si="9"/>
        <v>16901.2</v>
      </c>
      <c r="S99" s="11"/>
      <c r="T99" s="13"/>
      <c r="V99" s="19" t="s">
        <v>24</v>
      </c>
      <c r="W99" s="11">
        <v>145</v>
      </c>
      <c r="X99" s="14">
        <f t="shared" si="10"/>
        <v>5214.2</v>
      </c>
      <c r="Y99" s="15">
        <v>260</v>
      </c>
      <c r="Z99" s="15">
        <f t="shared" si="11"/>
        <v>9349.6</v>
      </c>
      <c r="AA99" s="13">
        <f t="shared" si="12"/>
        <v>31465</v>
      </c>
    </row>
    <row r="100" spans="1:28" s="16" customFormat="1" x14ac:dyDescent="0.3">
      <c r="A100" s="18">
        <v>99</v>
      </c>
      <c r="B100" s="8">
        <v>46268</v>
      </c>
      <c r="C100" s="8">
        <v>46269</v>
      </c>
      <c r="D100" s="44">
        <v>260904011</v>
      </c>
      <c r="E100" s="22" t="s">
        <v>270</v>
      </c>
      <c r="F100" s="9" t="s">
        <v>271</v>
      </c>
      <c r="G100" s="9">
        <v>33</v>
      </c>
      <c r="H100" s="43">
        <v>42</v>
      </c>
      <c r="I100" s="26" t="s">
        <v>169</v>
      </c>
      <c r="J100" s="27" t="s">
        <v>23</v>
      </c>
      <c r="K100" s="26" t="s">
        <v>30</v>
      </c>
      <c r="L100" s="45" t="s">
        <v>166</v>
      </c>
      <c r="M100" s="9" t="s">
        <v>31</v>
      </c>
      <c r="N100" s="9">
        <v>45.12</v>
      </c>
      <c r="O100" s="9">
        <v>11.42</v>
      </c>
      <c r="P100" s="10">
        <f t="shared" si="13"/>
        <v>33.699999999999996</v>
      </c>
      <c r="Q100" s="11">
        <v>525</v>
      </c>
      <c r="R100" s="12">
        <f t="shared" si="9"/>
        <v>17692.499999999996</v>
      </c>
      <c r="S100" s="11"/>
      <c r="T100" s="13"/>
      <c r="V100" s="19" t="s">
        <v>24</v>
      </c>
      <c r="W100" s="11">
        <v>145</v>
      </c>
      <c r="X100" s="14">
        <f t="shared" si="10"/>
        <v>4886.4999999999991</v>
      </c>
      <c r="Y100" s="15">
        <v>260</v>
      </c>
      <c r="Z100" s="15">
        <f t="shared" si="11"/>
        <v>8761.9999999999982</v>
      </c>
      <c r="AA100" s="13">
        <f t="shared" si="12"/>
        <v>31340.999999999993</v>
      </c>
    </row>
    <row r="101" spans="1:28" s="16" customFormat="1" x14ac:dyDescent="0.3">
      <c r="A101" s="18">
        <v>100</v>
      </c>
      <c r="B101" s="8">
        <v>46268</v>
      </c>
      <c r="C101" s="8">
        <v>46269</v>
      </c>
      <c r="D101" s="44">
        <v>260904012</v>
      </c>
      <c r="E101" s="22" t="s">
        <v>272</v>
      </c>
      <c r="F101" s="9" t="s">
        <v>273</v>
      </c>
      <c r="G101" s="9"/>
      <c r="H101" s="37">
        <v>136</v>
      </c>
      <c r="I101" s="39" t="s">
        <v>69</v>
      </c>
      <c r="J101" s="36" t="s">
        <v>23</v>
      </c>
      <c r="K101" s="26" t="s">
        <v>30</v>
      </c>
      <c r="L101" s="45" t="s">
        <v>274</v>
      </c>
      <c r="M101" s="9" t="s">
        <v>71</v>
      </c>
      <c r="N101" s="9">
        <v>48.3</v>
      </c>
      <c r="O101" s="9">
        <v>11.88</v>
      </c>
      <c r="P101" s="10">
        <f t="shared" si="13"/>
        <v>36.419999999999995</v>
      </c>
      <c r="Q101" s="11">
        <v>260</v>
      </c>
      <c r="R101" s="12">
        <f t="shared" si="9"/>
        <v>9469.1999999999989</v>
      </c>
      <c r="S101" s="11"/>
      <c r="T101" s="13"/>
      <c r="V101" s="19" t="s">
        <v>24</v>
      </c>
      <c r="W101" s="11"/>
      <c r="X101" s="14">
        <f t="shared" si="10"/>
        <v>0</v>
      </c>
      <c r="Y101" s="15">
        <v>115</v>
      </c>
      <c r="Z101" s="15">
        <f t="shared" si="11"/>
        <v>4188.2999999999993</v>
      </c>
      <c r="AA101" s="13">
        <f t="shared" si="12"/>
        <v>13657.499999999998</v>
      </c>
    </row>
    <row r="102" spans="1:28" s="16" customFormat="1" x14ac:dyDescent="0.3">
      <c r="A102" s="18">
        <v>101</v>
      </c>
      <c r="B102" s="8">
        <v>46268</v>
      </c>
      <c r="C102" s="8">
        <v>46269</v>
      </c>
      <c r="D102" s="44">
        <v>260904013</v>
      </c>
      <c r="E102" s="22" t="s">
        <v>275</v>
      </c>
      <c r="F102" s="9" t="s">
        <v>276</v>
      </c>
      <c r="G102" s="9"/>
      <c r="H102" s="37">
        <v>136</v>
      </c>
      <c r="I102" s="39" t="s">
        <v>69</v>
      </c>
      <c r="J102" s="36" t="s">
        <v>23</v>
      </c>
      <c r="K102" s="26" t="s">
        <v>30</v>
      </c>
      <c r="L102" s="45" t="s">
        <v>277</v>
      </c>
      <c r="M102" s="9" t="s">
        <v>71</v>
      </c>
      <c r="N102" s="9">
        <v>46.7</v>
      </c>
      <c r="O102" s="9">
        <v>12.02</v>
      </c>
      <c r="P102" s="10">
        <f t="shared" si="13"/>
        <v>34.680000000000007</v>
      </c>
      <c r="Q102" s="11">
        <v>260</v>
      </c>
      <c r="R102" s="12">
        <f t="shared" si="9"/>
        <v>9016.8000000000011</v>
      </c>
      <c r="S102" s="11"/>
      <c r="T102" s="13"/>
      <c r="V102" s="19" t="s">
        <v>24</v>
      </c>
      <c r="W102" s="11"/>
      <c r="X102" s="14">
        <f t="shared" si="10"/>
        <v>0</v>
      </c>
      <c r="Y102" s="15">
        <v>115</v>
      </c>
      <c r="Z102" s="15">
        <f t="shared" si="11"/>
        <v>3988.2000000000007</v>
      </c>
      <c r="AA102" s="13">
        <f t="shared" si="12"/>
        <v>13005.000000000002</v>
      </c>
    </row>
    <row r="103" spans="1:28" s="16" customFormat="1" x14ac:dyDescent="0.3">
      <c r="A103" s="18">
        <v>102</v>
      </c>
      <c r="B103" s="8">
        <v>46268</v>
      </c>
      <c r="C103" s="8">
        <v>46269</v>
      </c>
      <c r="D103" s="44">
        <v>260904014</v>
      </c>
      <c r="E103" s="22" t="s">
        <v>278</v>
      </c>
      <c r="F103" s="9" t="s">
        <v>279</v>
      </c>
      <c r="G103" s="9">
        <v>40</v>
      </c>
      <c r="H103" s="37">
        <v>131</v>
      </c>
      <c r="I103" s="26" t="s">
        <v>280</v>
      </c>
      <c r="J103" s="36" t="s">
        <v>23</v>
      </c>
      <c r="K103" s="26" t="s">
        <v>30</v>
      </c>
      <c r="L103" s="45" t="s">
        <v>97</v>
      </c>
      <c r="M103" s="9" t="s">
        <v>108</v>
      </c>
      <c r="N103" s="9">
        <v>54.42</v>
      </c>
      <c r="O103" s="9">
        <v>13.86</v>
      </c>
      <c r="P103" s="10">
        <f t="shared" si="13"/>
        <v>40.56</v>
      </c>
      <c r="Q103" s="11">
        <v>285</v>
      </c>
      <c r="R103" s="12">
        <f t="shared" si="9"/>
        <v>11559.6</v>
      </c>
      <c r="S103" s="11"/>
      <c r="T103" s="13"/>
      <c r="V103" s="19" t="s">
        <v>24</v>
      </c>
      <c r="W103" s="11">
        <v>145</v>
      </c>
      <c r="X103" s="14">
        <f t="shared" si="10"/>
        <v>5881.2000000000007</v>
      </c>
      <c r="Y103" s="15">
        <v>200</v>
      </c>
      <c r="Z103" s="15">
        <f t="shared" si="11"/>
        <v>8112</v>
      </c>
      <c r="AA103" s="13">
        <f t="shared" si="12"/>
        <v>25552.800000000003</v>
      </c>
    </row>
    <row r="104" spans="1:28" s="16" customFormat="1" x14ac:dyDescent="0.3">
      <c r="A104" s="18">
        <v>103</v>
      </c>
      <c r="B104" s="8">
        <v>46268</v>
      </c>
      <c r="C104" s="8">
        <v>46269</v>
      </c>
      <c r="D104" s="44" t="s">
        <v>281</v>
      </c>
      <c r="E104" s="22"/>
      <c r="F104" s="9"/>
      <c r="G104" s="9"/>
      <c r="H104" s="34">
        <v>285</v>
      </c>
      <c r="I104" s="35" t="s">
        <v>52</v>
      </c>
      <c r="J104" s="36" t="s">
        <v>23</v>
      </c>
      <c r="K104" s="26" t="s">
        <v>30</v>
      </c>
      <c r="L104" s="45" t="s">
        <v>53</v>
      </c>
      <c r="M104" s="9" t="s">
        <v>31</v>
      </c>
      <c r="N104" s="9">
        <v>43.42</v>
      </c>
      <c r="O104" s="9">
        <v>10.72</v>
      </c>
      <c r="P104" s="10">
        <f t="shared" si="13"/>
        <v>32.700000000000003</v>
      </c>
      <c r="Q104" s="11">
        <v>500</v>
      </c>
      <c r="R104" s="12">
        <f t="shared" si="9"/>
        <v>16350.000000000002</v>
      </c>
      <c r="S104" s="11"/>
      <c r="T104" s="13"/>
      <c r="V104" s="19" t="s">
        <v>54</v>
      </c>
      <c r="W104" s="11"/>
      <c r="X104" s="14">
        <f t="shared" si="10"/>
        <v>0</v>
      </c>
      <c r="Y104" s="15"/>
      <c r="Z104" s="15">
        <f t="shared" si="11"/>
        <v>0</v>
      </c>
      <c r="AA104" s="13">
        <f t="shared" si="12"/>
        <v>16350.000000000002</v>
      </c>
    </row>
    <row r="105" spans="1:28" s="16" customFormat="1" x14ac:dyDescent="0.3">
      <c r="A105" s="18">
        <v>104</v>
      </c>
      <c r="B105" s="8">
        <v>46268</v>
      </c>
      <c r="C105" s="8">
        <v>46269</v>
      </c>
      <c r="D105" s="44">
        <v>260904015</v>
      </c>
      <c r="E105" s="22" t="s">
        <v>275</v>
      </c>
      <c r="F105" s="9" t="s">
        <v>282</v>
      </c>
      <c r="G105" s="9">
        <v>45</v>
      </c>
      <c r="H105" s="41">
        <v>115</v>
      </c>
      <c r="I105" s="26" t="s">
        <v>103</v>
      </c>
      <c r="J105" s="36" t="s">
        <v>23</v>
      </c>
      <c r="K105" s="42" t="s">
        <v>30</v>
      </c>
      <c r="L105" s="45" t="s">
        <v>114</v>
      </c>
      <c r="M105" s="9" t="s">
        <v>31</v>
      </c>
      <c r="N105" s="47">
        <v>61.82</v>
      </c>
      <c r="O105" s="47">
        <v>16</v>
      </c>
      <c r="P105" s="10">
        <f t="shared" si="13"/>
        <v>45.82</v>
      </c>
      <c r="Q105" s="11">
        <v>545</v>
      </c>
      <c r="R105" s="12">
        <f t="shared" si="9"/>
        <v>24971.9</v>
      </c>
      <c r="S105" s="11"/>
      <c r="T105" s="13"/>
      <c r="V105" s="19" t="s">
        <v>24</v>
      </c>
      <c r="W105" s="11">
        <v>145</v>
      </c>
      <c r="X105" s="14">
        <f t="shared" si="10"/>
        <v>6643.9</v>
      </c>
      <c r="Y105" s="15">
        <v>260</v>
      </c>
      <c r="Z105" s="15">
        <f t="shared" si="11"/>
        <v>11913.2</v>
      </c>
      <c r="AA105" s="13">
        <f t="shared" si="12"/>
        <v>43529</v>
      </c>
    </row>
    <row r="106" spans="1:28" s="16" customFormat="1" x14ac:dyDescent="0.3">
      <c r="A106" s="18">
        <v>105</v>
      </c>
      <c r="B106" s="8">
        <v>46269</v>
      </c>
      <c r="C106" s="8">
        <v>46269</v>
      </c>
      <c r="D106" s="20">
        <v>260904016</v>
      </c>
      <c r="E106" s="22" t="s">
        <v>283</v>
      </c>
      <c r="F106" s="9" t="s">
        <v>284</v>
      </c>
      <c r="G106" s="9">
        <v>43</v>
      </c>
      <c r="H106" s="41">
        <v>115</v>
      </c>
      <c r="I106" s="26" t="s">
        <v>103</v>
      </c>
      <c r="J106" s="36" t="s">
        <v>23</v>
      </c>
      <c r="K106" s="42" t="s">
        <v>30</v>
      </c>
      <c r="L106" s="48" t="s">
        <v>74</v>
      </c>
      <c r="M106" s="9" t="s">
        <v>108</v>
      </c>
      <c r="N106" s="9">
        <v>59.48</v>
      </c>
      <c r="O106" s="9">
        <v>15.7</v>
      </c>
      <c r="P106" s="10">
        <f>N106-O106</f>
        <v>43.78</v>
      </c>
      <c r="Q106" s="11">
        <v>315</v>
      </c>
      <c r="R106" s="12">
        <f t="shared" si="9"/>
        <v>13790.7</v>
      </c>
      <c r="S106" s="11"/>
      <c r="T106" s="13"/>
      <c r="V106" s="19" t="s">
        <v>24</v>
      </c>
      <c r="W106" s="11">
        <v>1475</v>
      </c>
      <c r="X106" s="14">
        <f t="shared" ref="X106:X148" si="14">P106*W106</f>
        <v>64575.5</v>
      </c>
      <c r="Y106" s="15">
        <v>260</v>
      </c>
      <c r="Z106" s="15">
        <f t="shared" ref="Z106:Z148" si="15">P106*Y106</f>
        <v>11382.800000000001</v>
      </c>
      <c r="AA106" s="13">
        <f t="shared" ref="AA106:AA148" si="16">R106+X106+Z106</f>
        <v>89749</v>
      </c>
      <c r="AB106" s="29"/>
    </row>
    <row r="107" spans="1:28" s="16" customFormat="1" x14ac:dyDescent="0.3">
      <c r="A107" s="18">
        <v>106</v>
      </c>
      <c r="B107" s="8">
        <v>46269</v>
      </c>
      <c r="C107" s="8">
        <v>46269</v>
      </c>
      <c r="D107" s="20">
        <v>260904017</v>
      </c>
      <c r="E107" s="22" t="s">
        <v>285</v>
      </c>
      <c r="F107" s="9" t="s">
        <v>286</v>
      </c>
      <c r="G107" s="9"/>
      <c r="H107" s="37">
        <v>136</v>
      </c>
      <c r="I107" s="39" t="s">
        <v>69</v>
      </c>
      <c r="J107" s="36" t="s">
        <v>23</v>
      </c>
      <c r="K107" s="26" t="s">
        <v>30</v>
      </c>
      <c r="L107" s="9" t="s">
        <v>287</v>
      </c>
      <c r="M107" s="9" t="s">
        <v>71</v>
      </c>
      <c r="N107" s="9">
        <v>59.26</v>
      </c>
      <c r="O107" s="9">
        <v>16.2</v>
      </c>
      <c r="P107" s="10">
        <f>N107-O107</f>
        <v>43.06</v>
      </c>
      <c r="Q107" s="11">
        <v>260</v>
      </c>
      <c r="R107" s="12">
        <f t="shared" si="9"/>
        <v>11195.6</v>
      </c>
      <c r="S107" s="11"/>
      <c r="T107" s="13"/>
      <c r="V107" s="19" t="s">
        <v>24</v>
      </c>
      <c r="W107" s="11"/>
      <c r="X107" s="14">
        <f t="shared" si="14"/>
        <v>0</v>
      </c>
      <c r="Y107" s="15">
        <v>115</v>
      </c>
      <c r="Z107" s="15">
        <f t="shared" si="15"/>
        <v>4951.9000000000005</v>
      </c>
      <c r="AA107" s="13">
        <f t="shared" si="16"/>
        <v>16147.5</v>
      </c>
    </row>
    <row r="108" spans="1:28" s="28" customFormat="1" x14ac:dyDescent="0.3">
      <c r="A108" s="18">
        <v>107</v>
      </c>
      <c r="B108" s="8">
        <v>46269</v>
      </c>
      <c r="C108" s="8">
        <v>46269</v>
      </c>
      <c r="D108" s="20">
        <v>260904018</v>
      </c>
      <c r="E108" s="22" t="s">
        <v>288</v>
      </c>
      <c r="F108" s="9" t="s">
        <v>289</v>
      </c>
      <c r="G108" s="9"/>
      <c r="H108" s="37">
        <v>136</v>
      </c>
      <c r="I108" s="39" t="s">
        <v>69</v>
      </c>
      <c r="J108" s="36" t="s">
        <v>23</v>
      </c>
      <c r="K108" s="26" t="s">
        <v>30</v>
      </c>
      <c r="L108" s="9" t="s">
        <v>290</v>
      </c>
      <c r="M108" s="9" t="s">
        <v>71</v>
      </c>
      <c r="N108" s="9">
        <v>65.739999999999995</v>
      </c>
      <c r="O108" s="9">
        <v>15.64</v>
      </c>
      <c r="P108" s="10">
        <f t="shared" ref="P108:P148" si="17">N108-O108</f>
        <v>50.099999999999994</v>
      </c>
      <c r="Q108" s="11">
        <v>260</v>
      </c>
      <c r="R108" s="12">
        <f t="shared" si="9"/>
        <v>13025.999999999998</v>
      </c>
      <c r="S108" s="11"/>
      <c r="T108" s="13"/>
      <c r="V108" s="19" t="s">
        <v>24</v>
      </c>
      <c r="W108" s="11"/>
      <c r="X108" s="14">
        <f t="shared" si="14"/>
        <v>0</v>
      </c>
      <c r="Y108" s="15">
        <v>115</v>
      </c>
      <c r="Z108" s="15">
        <f t="shared" si="15"/>
        <v>5761.4999999999991</v>
      </c>
      <c r="AA108" s="13">
        <f t="shared" si="16"/>
        <v>18787.499999999996</v>
      </c>
    </row>
    <row r="109" spans="1:28" s="16" customFormat="1" x14ac:dyDescent="0.3">
      <c r="A109" s="18">
        <v>108</v>
      </c>
      <c r="B109" s="8">
        <v>46269</v>
      </c>
      <c r="C109" s="8">
        <v>46269</v>
      </c>
      <c r="D109" s="20">
        <v>260904019</v>
      </c>
      <c r="E109" s="22" t="s">
        <v>291</v>
      </c>
      <c r="F109" s="9" t="s">
        <v>292</v>
      </c>
      <c r="G109" s="9"/>
      <c r="H109" s="37">
        <v>136</v>
      </c>
      <c r="I109" s="39" t="s">
        <v>69</v>
      </c>
      <c r="J109" s="36" t="s">
        <v>23</v>
      </c>
      <c r="K109" s="26" t="s">
        <v>30</v>
      </c>
      <c r="L109" s="9" t="s">
        <v>82</v>
      </c>
      <c r="M109" s="9" t="s">
        <v>71</v>
      </c>
      <c r="N109" s="9">
        <v>62.92</v>
      </c>
      <c r="O109" s="9">
        <v>15.8</v>
      </c>
      <c r="P109" s="10">
        <f t="shared" si="17"/>
        <v>47.120000000000005</v>
      </c>
      <c r="Q109" s="11">
        <v>260</v>
      </c>
      <c r="R109" s="12">
        <f t="shared" si="9"/>
        <v>12251.2</v>
      </c>
      <c r="S109" s="11"/>
      <c r="T109" s="13"/>
      <c r="V109" s="19" t="s">
        <v>24</v>
      </c>
      <c r="W109" s="11"/>
      <c r="X109" s="14">
        <f t="shared" si="14"/>
        <v>0</v>
      </c>
      <c r="Y109" s="15">
        <v>115</v>
      </c>
      <c r="Z109" s="15">
        <f t="shared" si="15"/>
        <v>5418.8</v>
      </c>
      <c r="AA109" s="13">
        <f t="shared" si="16"/>
        <v>17670</v>
      </c>
    </row>
    <row r="110" spans="1:28" s="16" customFormat="1" x14ac:dyDescent="0.3">
      <c r="A110" s="18">
        <v>109</v>
      </c>
      <c r="B110" s="8">
        <v>46269</v>
      </c>
      <c r="C110" s="8">
        <v>46269</v>
      </c>
      <c r="D110" s="20">
        <v>260904020</v>
      </c>
      <c r="E110" s="22" t="s">
        <v>293</v>
      </c>
      <c r="F110" s="9" t="s">
        <v>294</v>
      </c>
      <c r="G110" s="9"/>
      <c r="H110" s="37">
        <v>136</v>
      </c>
      <c r="I110" s="39" t="s">
        <v>69</v>
      </c>
      <c r="J110" s="36" t="s">
        <v>23</v>
      </c>
      <c r="K110" s="26" t="s">
        <v>30</v>
      </c>
      <c r="L110" s="9" t="s">
        <v>85</v>
      </c>
      <c r="M110" s="9" t="s">
        <v>71</v>
      </c>
      <c r="N110" s="9">
        <v>59.52</v>
      </c>
      <c r="O110" s="9">
        <v>14.08</v>
      </c>
      <c r="P110" s="10">
        <f t="shared" si="17"/>
        <v>45.440000000000005</v>
      </c>
      <c r="Q110" s="11">
        <v>260</v>
      </c>
      <c r="R110" s="12">
        <f t="shared" si="9"/>
        <v>11814.400000000001</v>
      </c>
      <c r="S110" s="11"/>
      <c r="T110" s="13"/>
      <c r="V110" s="19" t="s">
        <v>24</v>
      </c>
      <c r="W110" s="11"/>
      <c r="X110" s="14">
        <f t="shared" si="14"/>
        <v>0</v>
      </c>
      <c r="Y110" s="15">
        <v>115</v>
      </c>
      <c r="Z110" s="15">
        <f t="shared" si="15"/>
        <v>5225.6000000000004</v>
      </c>
      <c r="AA110" s="13">
        <f t="shared" si="16"/>
        <v>17040</v>
      </c>
    </row>
    <row r="111" spans="1:28" s="28" customFormat="1" x14ac:dyDescent="0.3">
      <c r="A111" s="18">
        <v>110</v>
      </c>
      <c r="B111" s="8">
        <v>46269</v>
      </c>
      <c r="C111" s="8">
        <v>46269</v>
      </c>
      <c r="D111" s="20" t="s">
        <v>295</v>
      </c>
      <c r="E111" s="21"/>
      <c r="F111" s="9"/>
      <c r="G111" s="9"/>
      <c r="H111" s="48"/>
      <c r="I111" s="26" t="s">
        <v>296</v>
      </c>
      <c r="J111" s="36" t="s">
        <v>23</v>
      </c>
      <c r="K111" s="42" t="s">
        <v>297</v>
      </c>
      <c r="L111" s="48" t="s">
        <v>298</v>
      </c>
      <c r="M111" s="9" t="s">
        <v>31</v>
      </c>
      <c r="N111" s="9">
        <v>32.56</v>
      </c>
      <c r="O111" s="9">
        <v>11.56</v>
      </c>
      <c r="P111" s="10">
        <f t="shared" si="17"/>
        <v>21</v>
      </c>
      <c r="Q111" s="11">
        <v>550</v>
      </c>
      <c r="R111" s="12">
        <f t="shared" si="9"/>
        <v>11550</v>
      </c>
      <c r="S111" s="11">
        <v>11550</v>
      </c>
      <c r="T111" s="13"/>
      <c r="V111" s="19" t="s">
        <v>24</v>
      </c>
      <c r="W111" s="11"/>
      <c r="X111" s="14">
        <f t="shared" si="14"/>
        <v>0</v>
      </c>
      <c r="Y111" s="15"/>
      <c r="Z111" s="15">
        <f t="shared" si="15"/>
        <v>0</v>
      </c>
      <c r="AA111" s="13">
        <f t="shared" si="16"/>
        <v>11550</v>
      </c>
    </row>
    <row r="112" spans="1:28" s="16" customFormat="1" x14ac:dyDescent="0.3">
      <c r="A112" s="18">
        <v>111</v>
      </c>
      <c r="B112" s="8">
        <v>46269</v>
      </c>
      <c r="C112" s="8">
        <v>46269</v>
      </c>
      <c r="D112" s="20">
        <v>260904021</v>
      </c>
      <c r="E112" s="22" t="s">
        <v>299</v>
      </c>
      <c r="F112" s="9" t="s">
        <v>300</v>
      </c>
      <c r="G112" s="9">
        <v>44</v>
      </c>
      <c r="H112" s="37">
        <v>128</v>
      </c>
      <c r="I112" s="26" t="s">
        <v>301</v>
      </c>
      <c r="J112" s="36" t="s">
        <v>23</v>
      </c>
      <c r="K112" s="26" t="s">
        <v>30</v>
      </c>
      <c r="L112" s="48" t="s">
        <v>302</v>
      </c>
      <c r="M112" s="9" t="s">
        <v>31</v>
      </c>
      <c r="N112" s="9">
        <v>63.5</v>
      </c>
      <c r="O112" s="9">
        <v>19.260000000000002</v>
      </c>
      <c r="P112" s="10">
        <f t="shared" si="17"/>
        <v>44.239999999999995</v>
      </c>
      <c r="Q112" s="11">
        <v>530</v>
      </c>
      <c r="R112" s="12">
        <f t="shared" si="9"/>
        <v>23447.199999999997</v>
      </c>
      <c r="S112" s="11"/>
      <c r="T112" s="13"/>
      <c r="V112" s="19" t="s">
        <v>24</v>
      </c>
      <c r="W112" s="11">
        <v>145</v>
      </c>
      <c r="X112" s="14">
        <f t="shared" si="14"/>
        <v>6414.7999999999993</v>
      </c>
      <c r="Y112" s="15"/>
      <c r="Z112" s="15">
        <f t="shared" si="15"/>
        <v>0</v>
      </c>
      <c r="AA112" s="13">
        <f t="shared" si="16"/>
        <v>29861.999999999996</v>
      </c>
    </row>
    <row r="113" spans="1:27" s="16" customFormat="1" x14ac:dyDescent="0.3">
      <c r="A113" s="18">
        <v>112</v>
      </c>
      <c r="B113" s="8">
        <v>46269</v>
      </c>
      <c r="C113" s="8">
        <v>46269</v>
      </c>
      <c r="D113" s="20">
        <v>260904023</v>
      </c>
      <c r="E113" s="22" t="s">
        <v>303</v>
      </c>
      <c r="F113" s="9" t="s">
        <v>304</v>
      </c>
      <c r="G113" s="9"/>
      <c r="H113" s="37">
        <v>136</v>
      </c>
      <c r="I113" s="39" t="s">
        <v>69</v>
      </c>
      <c r="J113" s="36" t="s">
        <v>23</v>
      </c>
      <c r="K113" s="26" t="s">
        <v>30</v>
      </c>
      <c r="L113" s="48" t="s">
        <v>305</v>
      </c>
      <c r="M113" s="9" t="s">
        <v>71</v>
      </c>
      <c r="N113" s="9">
        <v>62.06</v>
      </c>
      <c r="O113" s="9">
        <v>15.02</v>
      </c>
      <c r="P113" s="10">
        <f t="shared" si="17"/>
        <v>47.040000000000006</v>
      </c>
      <c r="Q113" s="11">
        <v>260</v>
      </c>
      <c r="R113" s="12">
        <f t="shared" si="9"/>
        <v>12230.400000000001</v>
      </c>
      <c r="S113" s="11"/>
      <c r="T113" s="13"/>
      <c r="V113" s="19" t="s">
        <v>24</v>
      </c>
      <c r="W113" s="11"/>
      <c r="X113" s="14">
        <f t="shared" si="14"/>
        <v>0</v>
      </c>
      <c r="Y113" s="15">
        <v>115</v>
      </c>
      <c r="Z113" s="15">
        <f t="shared" si="15"/>
        <v>5409.6</v>
      </c>
      <c r="AA113" s="13">
        <f t="shared" si="16"/>
        <v>17640</v>
      </c>
    </row>
    <row r="114" spans="1:27" s="16" customFormat="1" x14ac:dyDescent="0.3">
      <c r="A114" s="18">
        <v>113</v>
      </c>
      <c r="B114" s="8">
        <v>46269</v>
      </c>
      <c r="C114" s="8">
        <v>46269</v>
      </c>
      <c r="D114" s="20">
        <v>260904024</v>
      </c>
      <c r="E114" s="22" t="s">
        <v>306</v>
      </c>
      <c r="F114" s="9" t="s">
        <v>307</v>
      </c>
      <c r="G114" s="9">
        <v>44</v>
      </c>
      <c r="H114" s="43">
        <v>24</v>
      </c>
      <c r="I114" s="26" t="s">
        <v>308</v>
      </c>
      <c r="J114" s="27" t="s">
        <v>23</v>
      </c>
      <c r="K114" s="26" t="s">
        <v>30</v>
      </c>
      <c r="L114" s="48" t="s">
        <v>132</v>
      </c>
      <c r="M114" s="9" t="s">
        <v>173</v>
      </c>
      <c r="N114" s="9">
        <v>60.22</v>
      </c>
      <c r="O114" s="9">
        <v>15.64</v>
      </c>
      <c r="P114" s="10">
        <f t="shared" si="17"/>
        <v>44.58</v>
      </c>
      <c r="Q114" s="11">
        <v>415</v>
      </c>
      <c r="R114" s="12">
        <f t="shared" si="9"/>
        <v>18500.7</v>
      </c>
      <c r="S114" s="11"/>
      <c r="T114" s="13"/>
      <c r="V114" s="19" t="s">
        <v>24</v>
      </c>
      <c r="W114" s="11">
        <v>145</v>
      </c>
      <c r="X114" s="14">
        <f t="shared" si="14"/>
        <v>6464.0999999999995</v>
      </c>
      <c r="Y114" s="15">
        <v>260</v>
      </c>
      <c r="Z114" s="15">
        <f t="shared" si="15"/>
        <v>11590.8</v>
      </c>
      <c r="AA114" s="13">
        <f t="shared" si="16"/>
        <v>36555.599999999999</v>
      </c>
    </row>
    <row r="115" spans="1:27" s="16" customFormat="1" x14ac:dyDescent="0.3">
      <c r="A115" s="18">
        <v>114</v>
      </c>
      <c r="B115" s="8">
        <v>46269</v>
      </c>
      <c r="C115" s="8">
        <v>46269</v>
      </c>
      <c r="D115" s="20">
        <v>260904025</v>
      </c>
      <c r="E115" s="22" t="s">
        <v>309</v>
      </c>
      <c r="F115" s="9" t="s">
        <v>310</v>
      </c>
      <c r="G115" s="9">
        <v>37</v>
      </c>
      <c r="H115" s="43">
        <v>24</v>
      </c>
      <c r="I115" s="26" t="s">
        <v>308</v>
      </c>
      <c r="J115" s="27" t="s">
        <v>23</v>
      </c>
      <c r="K115" s="26" t="s">
        <v>30</v>
      </c>
      <c r="L115" s="48" t="s">
        <v>188</v>
      </c>
      <c r="M115" s="9" t="s">
        <v>173</v>
      </c>
      <c r="N115" s="9">
        <v>48.48</v>
      </c>
      <c r="O115" s="9">
        <v>11.44</v>
      </c>
      <c r="P115" s="10">
        <f t="shared" si="17"/>
        <v>37.04</v>
      </c>
      <c r="Q115" s="11">
        <v>415</v>
      </c>
      <c r="R115" s="12">
        <f t="shared" si="9"/>
        <v>15371.6</v>
      </c>
      <c r="S115" s="11"/>
      <c r="T115" s="13"/>
      <c r="V115" s="19" t="s">
        <v>24</v>
      </c>
      <c r="W115" s="11">
        <v>145</v>
      </c>
      <c r="X115" s="14">
        <f t="shared" si="14"/>
        <v>5370.8</v>
      </c>
      <c r="Y115" s="15">
        <v>260</v>
      </c>
      <c r="Z115" s="15">
        <f t="shared" si="15"/>
        <v>9630.4</v>
      </c>
      <c r="AA115" s="13">
        <f t="shared" si="16"/>
        <v>30372.800000000003</v>
      </c>
    </row>
    <row r="116" spans="1:27" s="16" customFormat="1" x14ac:dyDescent="0.3">
      <c r="A116" s="18">
        <v>115</v>
      </c>
      <c r="B116" s="8">
        <v>46269</v>
      </c>
      <c r="C116" s="8">
        <v>46269</v>
      </c>
      <c r="D116" s="20">
        <v>260904026</v>
      </c>
      <c r="E116" s="22" t="s">
        <v>311</v>
      </c>
      <c r="F116" s="9" t="s">
        <v>312</v>
      </c>
      <c r="G116" s="21">
        <v>48</v>
      </c>
      <c r="H116" s="43">
        <v>24</v>
      </c>
      <c r="I116" s="26" t="s">
        <v>308</v>
      </c>
      <c r="J116" s="27" t="s">
        <v>23</v>
      </c>
      <c r="K116" s="26" t="s">
        <v>30</v>
      </c>
      <c r="L116" s="48" t="s">
        <v>193</v>
      </c>
      <c r="M116" s="9" t="s">
        <v>173</v>
      </c>
      <c r="N116" s="9">
        <v>64.48</v>
      </c>
      <c r="O116" s="9">
        <v>16.18</v>
      </c>
      <c r="P116" s="10">
        <f t="shared" si="17"/>
        <v>48.300000000000004</v>
      </c>
      <c r="Q116" s="11">
        <v>415</v>
      </c>
      <c r="R116" s="12">
        <f t="shared" si="9"/>
        <v>20044.5</v>
      </c>
      <c r="S116" s="11"/>
      <c r="T116" s="13"/>
      <c r="V116" s="19" t="s">
        <v>24</v>
      </c>
      <c r="W116" s="11">
        <v>145</v>
      </c>
      <c r="X116" s="14">
        <f t="shared" si="14"/>
        <v>7003.5000000000009</v>
      </c>
      <c r="Y116" s="15">
        <v>260</v>
      </c>
      <c r="Z116" s="15">
        <f t="shared" si="15"/>
        <v>12558.000000000002</v>
      </c>
      <c r="AA116" s="13">
        <f t="shared" si="16"/>
        <v>39606</v>
      </c>
    </row>
    <row r="117" spans="1:27" s="16" customFormat="1" x14ac:dyDescent="0.3">
      <c r="A117" s="18">
        <v>116</v>
      </c>
      <c r="B117" s="8">
        <v>46269</v>
      </c>
      <c r="C117" s="8">
        <v>46269</v>
      </c>
      <c r="D117" s="20">
        <v>260904027</v>
      </c>
      <c r="E117" s="22" t="s">
        <v>313</v>
      </c>
      <c r="F117" s="9" t="s">
        <v>314</v>
      </c>
      <c r="G117" s="9">
        <v>46</v>
      </c>
      <c r="H117" s="43">
        <v>24</v>
      </c>
      <c r="I117" s="26" t="s">
        <v>308</v>
      </c>
      <c r="J117" s="27" t="s">
        <v>23</v>
      </c>
      <c r="K117" s="26" t="s">
        <v>30</v>
      </c>
      <c r="L117" s="48" t="s">
        <v>97</v>
      </c>
      <c r="M117" s="9" t="s">
        <v>173</v>
      </c>
      <c r="N117" s="9">
        <v>60.22</v>
      </c>
      <c r="O117" s="9">
        <v>13.64</v>
      </c>
      <c r="P117" s="10">
        <f t="shared" si="17"/>
        <v>46.58</v>
      </c>
      <c r="Q117" s="11">
        <v>415</v>
      </c>
      <c r="R117" s="12">
        <f t="shared" si="9"/>
        <v>19330.7</v>
      </c>
      <c r="S117" s="11"/>
      <c r="T117" s="13"/>
      <c r="V117" s="19" t="s">
        <v>24</v>
      </c>
      <c r="W117" s="11">
        <v>145</v>
      </c>
      <c r="X117" s="14">
        <f t="shared" si="14"/>
        <v>6754.0999999999995</v>
      </c>
      <c r="Y117" s="15">
        <v>260</v>
      </c>
      <c r="Z117" s="15">
        <f t="shared" si="15"/>
        <v>12110.8</v>
      </c>
      <c r="AA117" s="13">
        <f t="shared" si="16"/>
        <v>38195.599999999999</v>
      </c>
    </row>
    <row r="118" spans="1:27" s="16" customFormat="1" x14ac:dyDescent="0.3">
      <c r="A118" s="18">
        <v>117</v>
      </c>
      <c r="B118" s="8">
        <v>46269</v>
      </c>
      <c r="C118" s="8">
        <v>46269</v>
      </c>
      <c r="D118" s="20">
        <v>260904028</v>
      </c>
      <c r="E118" s="22" t="s">
        <v>315</v>
      </c>
      <c r="F118" s="9" t="s">
        <v>316</v>
      </c>
      <c r="G118" s="9">
        <v>45</v>
      </c>
      <c r="H118" s="43">
        <v>24</v>
      </c>
      <c r="I118" s="26" t="s">
        <v>308</v>
      </c>
      <c r="J118" s="27" t="s">
        <v>23</v>
      </c>
      <c r="K118" s="26" t="s">
        <v>30</v>
      </c>
      <c r="L118" s="48" t="s">
        <v>70</v>
      </c>
      <c r="M118" s="9" t="s">
        <v>173</v>
      </c>
      <c r="N118" s="9">
        <v>61.28</v>
      </c>
      <c r="O118" s="9">
        <v>15.54</v>
      </c>
      <c r="P118" s="10">
        <f t="shared" si="17"/>
        <v>45.74</v>
      </c>
      <c r="Q118" s="11">
        <v>415</v>
      </c>
      <c r="R118" s="12">
        <f t="shared" si="9"/>
        <v>18982.100000000002</v>
      </c>
      <c r="S118" s="11"/>
      <c r="T118" s="13"/>
      <c r="V118" s="19" t="s">
        <v>24</v>
      </c>
      <c r="W118" s="11">
        <v>145</v>
      </c>
      <c r="X118" s="14">
        <f t="shared" si="14"/>
        <v>6632.3</v>
      </c>
      <c r="Y118" s="15">
        <v>260</v>
      </c>
      <c r="Z118" s="15">
        <f t="shared" si="15"/>
        <v>11892.4</v>
      </c>
      <c r="AA118" s="13">
        <f t="shared" si="16"/>
        <v>37506.800000000003</v>
      </c>
    </row>
    <row r="119" spans="1:27" s="16" customFormat="1" x14ac:dyDescent="0.3">
      <c r="A119" s="18">
        <v>118</v>
      </c>
      <c r="B119" s="8">
        <v>46269</v>
      </c>
      <c r="C119" s="8">
        <v>46269</v>
      </c>
      <c r="D119" s="20">
        <v>260904029</v>
      </c>
      <c r="E119" s="22" t="s">
        <v>317</v>
      </c>
      <c r="F119" s="9" t="s">
        <v>318</v>
      </c>
      <c r="G119" s="9">
        <v>44</v>
      </c>
      <c r="H119" s="43">
        <v>24</v>
      </c>
      <c r="I119" s="26" t="s">
        <v>308</v>
      </c>
      <c r="J119" s="27" t="s">
        <v>23</v>
      </c>
      <c r="K119" s="26" t="s">
        <v>30</v>
      </c>
      <c r="L119" s="48" t="s">
        <v>319</v>
      </c>
      <c r="M119" s="9" t="s">
        <v>173</v>
      </c>
      <c r="N119" s="9">
        <v>59.98</v>
      </c>
      <c r="O119" s="9">
        <v>15.84</v>
      </c>
      <c r="P119" s="10">
        <f t="shared" si="17"/>
        <v>44.14</v>
      </c>
      <c r="Q119" s="11">
        <v>415</v>
      </c>
      <c r="R119" s="12">
        <f t="shared" si="9"/>
        <v>18318.099999999999</v>
      </c>
      <c r="S119" s="11"/>
      <c r="T119" s="13"/>
      <c r="V119" s="19" t="s">
        <v>24</v>
      </c>
      <c r="W119" s="11">
        <v>145</v>
      </c>
      <c r="X119" s="14">
        <f t="shared" si="14"/>
        <v>6400.3</v>
      </c>
      <c r="Y119" s="15">
        <v>260</v>
      </c>
      <c r="Z119" s="15">
        <f t="shared" si="15"/>
        <v>11476.4</v>
      </c>
      <c r="AA119" s="13">
        <f t="shared" si="16"/>
        <v>36194.799999999996</v>
      </c>
    </row>
    <row r="120" spans="1:27" s="16" customFormat="1" x14ac:dyDescent="0.3">
      <c r="A120" s="18">
        <v>119</v>
      </c>
      <c r="B120" s="8">
        <v>46269</v>
      </c>
      <c r="C120" s="8">
        <v>46269</v>
      </c>
      <c r="D120" s="20">
        <v>260904030</v>
      </c>
      <c r="E120" s="22" t="s">
        <v>320</v>
      </c>
      <c r="F120" s="9" t="s">
        <v>321</v>
      </c>
      <c r="G120" s="9">
        <v>21</v>
      </c>
      <c r="H120" s="43">
        <v>18</v>
      </c>
      <c r="I120" s="26" t="s">
        <v>140</v>
      </c>
      <c r="J120" s="27" t="s">
        <v>23</v>
      </c>
      <c r="K120" s="26" t="s">
        <v>30</v>
      </c>
      <c r="L120" s="11" t="s">
        <v>144</v>
      </c>
      <c r="M120" s="16" t="s">
        <v>108</v>
      </c>
      <c r="N120" s="9">
        <v>36.340000000000003</v>
      </c>
      <c r="O120" s="9">
        <v>14.84</v>
      </c>
      <c r="P120" s="10">
        <f t="shared" si="17"/>
        <v>21.500000000000004</v>
      </c>
      <c r="Q120" s="11">
        <v>420</v>
      </c>
      <c r="R120" s="12">
        <f t="shared" si="9"/>
        <v>9030.0000000000018</v>
      </c>
      <c r="S120" s="11"/>
      <c r="T120" s="13"/>
      <c r="V120" s="19" t="s">
        <v>24</v>
      </c>
      <c r="W120" s="11">
        <v>145</v>
      </c>
      <c r="X120" s="14">
        <f t="shared" si="14"/>
        <v>3117.5000000000005</v>
      </c>
      <c r="Y120" s="15"/>
      <c r="Z120" s="15">
        <f t="shared" si="15"/>
        <v>0</v>
      </c>
      <c r="AA120" s="13">
        <f t="shared" si="16"/>
        <v>12147.500000000002</v>
      </c>
    </row>
    <row r="121" spans="1:27" s="16" customFormat="1" x14ac:dyDescent="0.3">
      <c r="A121" s="18">
        <v>120</v>
      </c>
      <c r="B121" s="8">
        <v>46269</v>
      </c>
      <c r="C121" s="8">
        <v>46269</v>
      </c>
      <c r="D121" s="20">
        <v>260904031</v>
      </c>
      <c r="E121" s="22" t="s">
        <v>322</v>
      </c>
      <c r="F121" s="9" t="s">
        <v>323</v>
      </c>
      <c r="G121" s="9">
        <v>44</v>
      </c>
      <c r="H121" s="43">
        <v>24</v>
      </c>
      <c r="I121" s="26" t="s">
        <v>308</v>
      </c>
      <c r="J121" s="27" t="s">
        <v>23</v>
      </c>
      <c r="K121" s="26" t="s">
        <v>30</v>
      </c>
      <c r="L121" s="48" t="s">
        <v>324</v>
      </c>
      <c r="M121" s="9" t="s">
        <v>173</v>
      </c>
      <c r="N121" s="9">
        <v>59.38</v>
      </c>
      <c r="O121" s="9">
        <v>15.16</v>
      </c>
      <c r="P121" s="10">
        <f t="shared" si="17"/>
        <v>44.22</v>
      </c>
      <c r="Q121" s="11">
        <v>415</v>
      </c>
      <c r="R121" s="12">
        <f t="shared" si="9"/>
        <v>18351.3</v>
      </c>
      <c r="S121" s="11"/>
      <c r="T121" s="13"/>
      <c r="V121" s="19" t="s">
        <v>24</v>
      </c>
      <c r="W121" s="11">
        <v>145</v>
      </c>
      <c r="X121" s="14">
        <f t="shared" si="14"/>
        <v>6411.9</v>
      </c>
      <c r="Y121" s="15">
        <v>260</v>
      </c>
      <c r="Z121" s="15">
        <f t="shared" si="15"/>
        <v>11497.199999999999</v>
      </c>
      <c r="AA121" s="13">
        <f t="shared" si="16"/>
        <v>36260.399999999994</v>
      </c>
    </row>
    <row r="122" spans="1:27" s="16" customFormat="1" x14ac:dyDescent="0.3">
      <c r="A122" s="18">
        <v>121</v>
      </c>
      <c r="B122" s="8">
        <v>46269</v>
      </c>
      <c r="C122" s="8">
        <v>46269</v>
      </c>
      <c r="D122" s="20">
        <v>260904032</v>
      </c>
      <c r="E122" s="22" t="s">
        <v>325</v>
      </c>
      <c r="F122" s="9" t="s">
        <v>326</v>
      </c>
      <c r="G122" s="9">
        <v>22</v>
      </c>
      <c r="H122" s="43">
        <v>18</v>
      </c>
      <c r="I122" s="26" t="s">
        <v>140</v>
      </c>
      <c r="J122" s="27" t="s">
        <v>23</v>
      </c>
      <c r="K122" s="26" t="s">
        <v>30</v>
      </c>
      <c r="L122" s="11" t="s">
        <v>141</v>
      </c>
      <c r="M122" s="16" t="s">
        <v>108</v>
      </c>
      <c r="N122" s="9">
        <v>36.68</v>
      </c>
      <c r="O122" s="9">
        <v>14.28</v>
      </c>
      <c r="P122" s="10">
        <f t="shared" si="17"/>
        <v>22.4</v>
      </c>
      <c r="Q122" s="11">
        <v>420</v>
      </c>
      <c r="R122" s="12">
        <f t="shared" si="9"/>
        <v>9408</v>
      </c>
      <c r="S122" s="11"/>
      <c r="T122" s="13"/>
      <c r="V122" s="19" t="s">
        <v>24</v>
      </c>
      <c r="W122" s="11">
        <v>145</v>
      </c>
      <c r="X122" s="14">
        <f t="shared" si="14"/>
        <v>3248</v>
      </c>
      <c r="Y122" s="15"/>
      <c r="Z122" s="15">
        <f t="shared" si="15"/>
        <v>0</v>
      </c>
      <c r="AA122" s="13">
        <f t="shared" si="16"/>
        <v>12656</v>
      </c>
    </row>
    <row r="123" spans="1:27" s="16" customFormat="1" x14ac:dyDescent="0.3">
      <c r="A123" s="18">
        <v>122</v>
      </c>
      <c r="B123" s="8">
        <v>46269</v>
      </c>
      <c r="C123" s="8">
        <v>46269</v>
      </c>
      <c r="D123" s="20">
        <v>260904033</v>
      </c>
      <c r="E123" s="22" t="s">
        <v>327</v>
      </c>
      <c r="F123" s="9" t="s">
        <v>328</v>
      </c>
      <c r="G123" s="9"/>
      <c r="H123" s="37">
        <v>136</v>
      </c>
      <c r="I123" s="39" t="s">
        <v>69</v>
      </c>
      <c r="J123" s="36" t="s">
        <v>23</v>
      </c>
      <c r="K123" s="26" t="s">
        <v>30</v>
      </c>
      <c r="L123" s="48" t="s">
        <v>329</v>
      </c>
      <c r="M123" s="9" t="s">
        <v>71</v>
      </c>
      <c r="N123" s="9">
        <v>62.86</v>
      </c>
      <c r="O123" s="9">
        <v>15.94</v>
      </c>
      <c r="P123" s="10">
        <f t="shared" si="17"/>
        <v>46.92</v>
      </c>
      <c r="Q123" s="11">
        <v>260</v>
      </c>
      <c r="R123" s="12">
        <f t="shared" si="9"/>
        <v>12199.2</v>
      </c>
      <c r="S123" s="11"/>
      <c r="T123" s="13"/>
      <c r="V123" s="19" t="s">
        <v>24</v>
      </c>
      <c r="W123" s="11"/>
      <c r="X123" s="14">
        <f t="shared" si="14"/>
        <v>0</v>
      </c>
      <c r="Y123" s="15">
        <v>115</v>
      </c>
      <c r="Z123" s="15">
        <f t="shared" si="15"/>
        <v>5395.8</v>
      </c>
      <c r="AA123" s="13">
        <f t="shared" si="16"/>
        <v>17595</v>
      </c>
    </row>
    <row r="124" spans="1:27" s="16" customFormat="1" x14ac:dyDescent="0.3">
      <c r="A124" s="18">
        <v>123</v>
      </c>
      <c r="B124" s="8">
        <v>46269</v>
      </c>
      <c r="C124" s="8">
        <v>46269</v>
      </c>
      <c r="D124" s="20">
        <v>260904034</v>
      </c>
      <c r="E124" s="22" t="s">
        <v>330</v>
      </c>
      <c r="F124" s="9" t="s">
        <v>331</v>
      </c>
      <c r="G124" s="9"/>
      <c r="H124" s="37">
        <v>136</v>
      </c>
      <c r="I124" s="39" t="s">
        <v>69</v>
      </c>
      <c r="J124" s="36" t="s">
        <v>23</v>
      </c>
      <c r="K124" s="26" t="s">
        <v>30</v>
      </c>
      <c r="L124" s="48" t="s">
        <v>257</v>
      </c>
      <c r="M124" s="9" t="s">
        <v>71</v>
      </c>
      <c r="N124" s="9">
        <v>46.74</v>
      </c>
      <c r="O124" s="9">
        <v>11.48</v>
      </c>
      <c r="P124" s="10">
        <f t="shared" si="17"/>
        <v>35.260000000000005</v>
      </c>
      <c r="Q124" s="11">
        <v>260</v>
      </c>
      <c r="R124" s="12">
        <f t="shared" si="9"/>
        <v>9167.6000000000022</v>
      </c>
      <c r="S124" s="11"/>
      <c r="T124" s="13"/>
      <c r="V124" s="19" t="s">
        <v>24</v>
      </c>
      <c r="W124" s="11"/>
      <c r="X124" s="14">
        <f t="shared" si="14"/>
        <v>0</v>
      </c>
      <c r="Y124" s="15">
        <v>115</v>
      </c>
      <c r="Z124" s="15">
        <f t="shared" si="15"/>
        <v>4054.9000000000005</v>
      </c>
      <c r="AA124" s="13">
        <f t="shared" si="16"/>
        <v>13222.500000000004</v>
      </c>
    </row>
    <row r="125" spans="1:27" s="16" customFormat="1" x14ac:dyDescent="0.3">
      <c r="A125" s="18">
        <v>124</v>
      </c>
      <c r="B125" s="8">
        <v>46269</v>
      </c>
      <c r="C125" s="8">
        <v>46269</v>
      </c>
      <c r="D125" s="49" t="s">
        <v>332</v>
      </c>
      <c r="E125" s="21"/>
      <c r="F125" s="9"/>
      <c r="G125" s="9"/>
      <c r="H125" s="48"/>
      <c r="I125" s="26" t="s">
        <v>333</v>
      </c>
      <c r="J125" s="36" t="s">
        <v>23</v>
      </c>
      <c r="K125" s="26" t="s">
        <v>30</v>
      </c>
      <c r="L125" s="48" t="s">
        <v>39</v>
      </c>
      <c r="M125" s="9" t="s">
        <v>233</v>
      </c>
      <c r="N125" s="9">
        <v>25.62</v>
      </c>
      <c r="O125" s="9">
        <v>14.2</v>
      </c>
      <c r="P125" s="10">
        <f t="shared" si="17"/>
        <v>11.420000000000002</v>
      </c>
      <c r="Q125" s="11">
        <v>0</v>
      </c>
      <c r="R125" s="12">
        <f t="shared" si="9"/>
        <v>0</v>
      </c>
      <c r="S125" s="11"/>
      <c r="T125" s="13"/>
      <c r="V125" s="19" t="s">
        <v>24</v>
      </c>
      <c r="W125" s="11"/>
      <c r="X125" s="14">
        <f t="shared" si="14"/>
        <v>0</v>
      </c>
      <c r="Y125" s="15"/>
      <c r="Z125" s="15">
        <f t="shared" si="15"/>
        <v>0</v>
      </c>
      <c r="AA125" s="13">
        <f t="shared" si="16"/>
        <v>0</v>
      </c>
    </row>
    <row r="126" spans="1:27" s="16" customFormat="1" x14ac:dyDescent="0.3">
      <c r="A126" s="18">
        <v>125</v>
      </c>
      <c r="B126" s="8">
        <v>46269</v>
      </c>
      <c r="C126" s="8">
        <v>46269</v>
      </c>
      <c r="D126" s="17" t="s">
        <v>334</v>
      </c>
      <c r="E126" s="22"/>
      <c r="F126" s="9"/>
      <c r="G126" s="9"/>
      <c r="H126" s="48"/>
      <c r="I126" s="26" t="s">
        <v>333</v>
      </c>
      <c r="J126" s="36" t="s">
        <v>23</v>
      </c>
      <c r="K126" s="26" t="s">
        <v>30</v>
      </c>
      <c r="L126" s="48" t="s">
        <v>43</v>
      </c>
      <c r="M126" s="9" t="s">
        <v>233</v>
      </c>
      <c r="N126" s="9">
        <v>26.38</v>
      </c>
      <c r="O126" s="9">
        <v>15.06</v>
      </c>
      <c r="P126" s="10">
        <f t="shared" si="17"/>
        <v>11.319999999999999</v>
      </c>
      <c r="Q126" s="11">
        <v>0</v>
      </c>
      <c r="R126" s="12">
        <f t="shared" si="9"/>
        <v>0</v>
      </c>
      <c r="S126" s="11"/>
      <c r="T126" s="13"/>
      <c r="V126" s="19" t="s">
        <v>24</v>
      </c>
      <c r="W126" s="11"/>
      <c r="X126" s="14">
        <f t="shared" si="14"/>
        <v>0</v>
      </c>
      <c r="Y126" s="15"/>
      <c r="Z126" s="15">
        <f t="shared" si="15"/>
        <v>0</v>
      </c>
      <c r="AA126" s="13">
        <f t="shared" si="16"/>
        <v>0</v>
      </c>
    </row>
    <row r="127" spans="1:27" s="16" customFormat="1" x14ac:dyDescent="0.3">
      <c r="A127" s="18">
        <v>126</v>
      </c>
      <c r="B127" s="8">
        <v>46269</v>
      </c>
      <c r="C127" s="8">
        <v>46269</v>
      </c>
      <c r="D127" s="20">
        <v>260904035</v>
      </c>
      <c r="E127" s="22" t="s">
        <v>335</v>
      </c>
      <c r="F127" s="9" t="s">
        <v>336</v>
      </c>
      <c r="G127" s="9">
        <v>30</v>
      </c>
      <c r="H127" s="37">
        <v>136</v>
      </c>
      <c r="I127" s="39" t="s">
        <v>69</v>
      </c>
      <c r="J127" s="36" t="s">
        <v>23</v>
      </c>
      <c r="K127" s="26" t="s">
        <v>30</v>
      </c>
      <c r="L127" s="17" t="s">
        <v>337</v>
      </c>
      <c r="M127" s="9" t="s">
        <v>71</v>
      </c>
      <c r="N127" s="9">
        <v>42.22</v>
      </c>
      <c r="O127" s="9">
        <v>11.42</v>
      </c>
      <c r="P127" s="10">
        <f t="shared" si="17"/>
        <v>30.799999999999997</v>
      </c>
      <c r="Q127" s="11">
        <v>260</v>
      </c>
      <c r="R127" s="12">
        <f t="shared" si="9"/>
        <v>8007.9999999999991</v>
      </c>
      <c r="S127" s="11"/>
      <c r="T127" s="13"/>
      <c r="V127" s="19" t="s">
        <v>24</v>
      </c>
      <c r="W127" s="11">
        <v>145</v>
      </c>
      <c r="X127" s="14">
        <f t="shared" si="14"/>
        <v>4466</v>
      </c>
      <c r="Y127" s="15">
        <v>115</v>
      </c>
      <c r="Z127" s="15">
        <f t="shared" si="15"/>
        <v>3541.9999999999995</v>
      </c>
      <c r="AA127" s="13">
        <f t="shared" si="16"/>
        <v>16016</v>
      </c>
    </row>
    <row r="128" spans="1:27" s="16" customFormat="1" x14ac:dyDescent="0.3">
      <c r="A128" s="18">
        <v>127</v>
      </c>
      <c r="B128" s="8">
        <v>46269</v>
      </c>
      <c r="C128" s="8">
        <v>46269</v>
      </c>
      <c r="D128" s="20">
        <v>260904036</v>
      </c>
      <c r="E128" s="22" t="s">
        <v>338</v>
      </c>
      <c r="F128" s="9" t="s">
        <v>339</v>
      </c>
      <c r="G128" s="9">
        <v>44</v>
      </c>
      <c r="H128" s="37">
        <v>136</v>
      </c>
      <c r="I128" s="39" t="s">
        <v>69</v>
      </c>
      <c r="J128" s="36" t="s">
        <v>23</v>
      </c>
      <c r="K128" s="26" t="s">
        <v>30</v>
      </c>
      <c r="L128" s="17" t="s">
        <v>70</v>
      </c>
      <c r="M128" s="9" t="s">
        <v>71</v>
      </c>
      <c r="N128" s="9">
        <v>60.02</v>
      </c>
      <c r="O128" s="9">
        <v>15.72</v>
      </c>
      <c r="P128" s="10">
        <f t="shared" si="17"/>
        <v>44.300000000000004</v>
      </c>
      <c r="Q128" s="11">
        <v>260</v>
      </c>
      <c r="R128" s="12">
        <f t="shared" si="9"/>
        <v>11518.000000000002</v>
      </c>
      <c r="S128" s="11"/>
      <c r="T128" s="13"/>
      <c r="V128" s="19" t="s">
        <v>24</v>
      </c>
      <c r="W128" s="11">
        <v>145</v>
      </c>
      <c r="X128" s="14">
        <f t="shared" si="14"/>
        <v>6423.5000000000009</v>
      </c>
      <c r="Y128" s="15">
        <v>115</v>
      </c>
      <c r="Z128" s="15">
        <f t="shared" si="15"/>
        <v>5094.5000000000009</v>
      </c>
      <c r="AA128" s="13">
        <f t="shared" si="16"/>
        <v>23036.000000000004</v>
      </c>
    </row>
    <row r="129" spans="1:28" s="16" customFormat="1" x14ac:dyDescent="0.3">
      <c r="A129" s="18">
        <v>128</v>
      </c>
      <c r="B129" s="8">
        <v>46269</v>
      </c>
      <c r="C129" s="8">
        <v>46269</v>
      </c>
      <c r="D129" s="20">
        <v>260904037</v>
      </c>
      <c r="E129" s="22" t="s">
        <v>340</v>
      </c>
      <c r="F129" s="9" t="s">
        <v>341</v>
      </c>
      <c r="G129" s="9">
        <v>44</v>
      </c>
      <c r="H129" s="37">
        <v>136</v>
      </c>
      <c r="I129" s="39" t="s">
        <v>69</v>
      </c>
      <c r="J129" s="36" t="s">
        <v>23</v>
      </c>
      <c r="K129" s="26" t="s">
        <v>30</v>
      </c>
      <c r="L129" s="17" t="s">
        <v>74</v>
      </c>
      <c r="M129" s="9" t="s">
        <v>71</v>
      </c>
      <c r="N129" s="9">
        <v>60.24</v>
      </c>
      <c r="O129" s="9">
        <v>15.66</v>
      </c>
      <c r="P129" s="10">
        <f t="shared" si="17"/>
        <v>44.58</v>
      </c>
      <c r="Q129" s="11">
        <v>260</v>
      </c>
      <c r="R129" s="12">
        <f t="shared" si="9"/>
        <v>11590.8</v>
      </c>
      <c r="S129" s="11"/>
      <c r="T129" s="13"/>
      <c r="V129" s="19" t="s">
        <v>24</v>
      </c>
      <c r="W129" s="11">
        <v>145</v>
      </c>
      <c r="X129" s="14">
        <f t="shared" si="14"/>
        <v>6464.0999999999995</v>
      </c>
      <c r="Y129" s="15">
        <v>115</v>
      </c>
      <c r="Z129" s="15">
        <f t="shared" si="15"/>
        <v>5126.7</v>
      </c>
      <c r="AA129" s="13">
        <f t="shared" si="16"/>
        <v>23181.599999999999</v>
      </c>
    </row>
    <row r="130" spans="1:28" s="16" customFormat="1" x14ac:dyDescent="0.3">
      <c r="A130" s="18">
        <v>129</v>
      </c>
      <c r="B130" s="8">
        <v>46269</v>
      </c>
      <c r="C130" s="8">
        <v>46270</v>
      </c>
      <c r="D130" s="44">
        <v>260905001</v>
      </c>
      <c r="E130" s="22" t="s">
        <v>342</v>
      </c>
      <c r="F130" s="9" t="s">
        <v>343</v>
      </c>
      <c r="G130" s="9">
        <v>45</v>
      </c>
      <c r="H130" s="37">
        <v>130</v>
      </c>
      <c r="I130" s="26" t="s">
        <v>344</v>
      </c>
      <c r="J130" s="36" t="s">
        <v>23</v>
      </c>
      <c r="K130" s="26" t="s">
        <v>30</v>
      </c>
      <c r="L130" s="45" t="s">
        <v>345</v>
      </c>
      <c r="M130" s="9" t="s">
        <v>31</v>
      </c>
      <c r="N130" s="9">
        <v>61.08</v>
      </c>
      <c r="O130" s="9">
        <v>15.44</v>
      </c>
      <c r="P130" s="10">
        <f t="shared" si="17"/>
        <v>45.64</v>
      </c>
      <c r="Q130" s="11">
        <v>520</v>
      </c>
      <c r="R130" s="12">
        <f t="shared" ref="R130:R193" si="18">P130*Q130</f>
        <v>23732.799999999999</v>
      </c>
      <c r="S130" s="11"/>
      <c r="T130" s="13"/>
      <c r="V130" s="19" t="s">
        <v>181</v>
      </c>
      <c r="W130" s="11">
        <v>150</v>
      </c>
      <c r="X130" s="14">
        <f t="shared" si="14"/>
        <v>6846</v>
      </c>
      <c r="Y130" s="15"/>
      <c r="Z130" s="15">
        <f t="shared" si="15"/>
        <v>0</v>
      </c>
      <c r="AA130" s="13">
        <f t="shared" si="16"/>
        <v>30578.799999999999</v>
      </c>
    </row>
    <row r="131" spans="1:28" s="16" customFormat="1" x14ac:dyDescent="0.3">
      <c r="A131" s="18">
        <v>130</v>
      </c>
      <c r="B131" s="8">
        <v>46269</v>
      </c>
      <c r="C131" s="8">
        <v>46270</v>
      </c>
      <c r="D131" s="44">
        <v>260905002</v>
      </c>
      <c r="E131" s="22" t="s">
        <v>346</v>
      </c>
      <c r="F131" s="9" t="s">
        <v>347</v>
      </c>
      <c r="G131" s="9">
        <v>36</v>
      </c>
      <c r="H131" s="43">
        <v>24</v>
      </c>
      <c r="I131" s="26" t="s">
        <v>308</v>
      </c>
      <c r="J131" s="27" t="s">
        <v>23</v>
      </c>
      <c r="K131" s="26" t="s">
        <v>30</v>
      </c>
      <c r="L131" s="45" t="s">
        <v>104</v>
      </c>
      <c r="M131" s="9" t="s">
        <v>173</v>
      </c>
      <c r="N131" s="9">
        <v>47.96</v>
      </c>
      <c r="O131" s="9">
        <v>11.76</v>
      </c>
      <c r="P131" s="10">
        <f t="shared" si="17"/>
        <v>36.200000000000003</v>
      </c>
      <c r="Q131" s="11">
        <v>415</v>
      </c>
      <c r="R131" s="12">
        <f t="shared" si="18"/>
        <v>15023.000000000002</v>
      </c>
      <c r="S131" s="11"/>
      <c r="T131" s="13"/>
      <c r="V131" s="19" t="s">
        <v>24</v>
      </c>
      <c r="W131" s="11">
        <v>145</v>
      </c>
      <c r="X131" s="14">
        <f t="shared" si="14"/>
        <v>5249</v>
      </c>
      <c r="Y131" s="15">
        <v>260</v>
      </c>
      <c r="Z131" s="15">
        <f t="shared" si="15"/>
        <v>9412</v>
      </c>
      <c r="AA131" s="13">
        <f t="shared" si="16"/>
        <v>29684</v>
      </c>
    </row>
    <row r="132" spans="1:28" s="16" customFormat="1" x14ac:dyDescent="0.3">
      <c r="A132" s="18">
        <v>131</v>
      </c>
      <c r="B132" s="8">
        <v>46269</v>
      </c>
      <c r="C132" s="8">
        <v>46270</v>
      </c>
      <c r="D132" s="44">
        <v>260905003</v>
      </c>
      <c r="E132" s="22" t="s">
        <v>348</v>
      </c>
      <c r="F132" s="9" t="s">
        <v>349</v>
      </c>
      <c r="G132" s="9">
        <v>37</v>
      </c>
      <c r="H132" s="43">
        <v>24</v>
      </c>
      <c r="I132" s="26" t="s">
        <v>308</v>
      </c>
      <c r="J132" s="27" t="s">
        <v>23</v>
      </c>
      <c r="K132" s="26" t="s">
        <v>30</v>
      </c>
      <c r="L132" s="45" t="s">
        <v>111</v>
      </c>
      <c r="M132" s="9" t="s">
        <v>173</v>
      </c>
      <c r="N132" s="9">
        <v>49.58</v>
      </c>
      <c r="O132" s="9">
        <v>11.68</v>
      </c>
      <c r="P132" s="10">
        <f t="shared" si="17"/>
        <v>37.9</v>
      </c>
      <c r="Q132" s="11">
        <v>415</v>
      </c>
      <c r="R132" s="12">
        <f t="shared" si="18"/>
        <v>15728.5</v>
      </c>
      <c r="S132" s="11"/>
      <c r="T132" s="13"/>
      <c r="V132" s="19" t="s">
        <v>24</v>
      </c>
      <c r="W132" s="11">
        <v>145</v>
      </c>
      <c r="X132" s="14">
        <f t="shared" si="14"/>
        <v>5495.5</v>
      </c>
      <c r="Y132" s="15">
        <v>260</v>
      </c>
      <c r="Z132" s="15">
        <f t="shared" si="15"/>
        <v>9854</v>
      </c>
      <c r="AA132" s="13">
        <f t="shared" si="16"/>
        <v>31078</v>
      </c>
    </row>
    <row r="133" spans="1:28" s="16" customFormat="1" x14ac:dyDescent="0.3">
      <c r="A133" s="18">
        <v>132</v>
      </c>
      <c r="B133" s="8">
        <v>46269</v>
      </c>
      <c r="C133" s="8">
        <v>46270</v>
      </c>
      <c r="D133" s="44">
        <v>260905004</v>
      </c>
      <c r="E133" s="22" t="s">
        <v>350</v>
      </c>
      <c r="F133" s="9" t="s">
        <v>351</v>
      </c>
      <c r="G133" s="9">
        <v>46</v>
      </c>
      <c r="H133" s="43">
        <v>24</v>
      </c>
      <c r="I133" s="26" t="s">
        <v>308</v>
      </c>
      <c r="J133" s="27" t="s">
        <v>23</v>
      </c>
      <c r="K133" s="26" t="s">
        <v>30</v>
      </c>
      <c r="L133" s="45" t="s">
        <v>170</v>
      </c>
      <c r="M133" s="9" t="s">
        <v>173</v>
      </c>
      <c r="N133" s="9">
        <v>61.46</v>
      </c>
      <c r="O133" s="9">
        <v>15.04</v>
      </c>
      <c r="P133" s="10">
        <f t="shared" si="17"/>
        <v>46.42</v>
      </c>
      <c r="Q133" s="11">
        <v>415</v>
      </c>
      <c r="R133" s="12">
        <f t="shared" si="18"/>
        <v>19264.3</v>
      </c>
      <c r="S133" s="11"/>
      <c r="T133" s="13"/>
      <c r="V133" s="19" t="s">
        <v>24</v>
      </c>
      <c r="W133" s="11">
        <v>145</v>
      </c>
      <c r="X133" s="14">
        <f t="shared" si="14"/>
        <v>6730.9000000000005</v>
      </c>
      <c r="Y133" s="15">
        <v>260</v>
      </c>
      <c r="Z133" s="15">
        <f t="shared" si="15"/>
        <v>12069.2</v>
      </c>
      <c r="AA133" s="13">
        <f t="shared" si="16"/>
        <v>38064.400000000001</v>
      </c>
    </row>
    <row r="134" spans="1:28" s="16" customFormat="1" x14ac:dyDescent="0.3">
      <c r="A134" s="18">
        <v>133</v>
      </c>
      <c r="B134" s="8">
        <v>46269</v>
      </c>
      <c r="C134" s="8">
        <v>46270</v>
      </c>
      <c r="D134" s="44">
        <v>260905005</v>
      </c>
      <c r="E134" s="22" t="s">
        <v>352</v>
      </c>
      <c r="F134" s="9" t="s">
        <v>353</v>
      </c>
      <c r="G134" s="9">
        <v>42</v>
      </c>
      <c r="H134" s="43">
        <v>24</v>
      </c>
      <c r="I134" s="26" t="s">
        <v>308</v>
      </c>
      <c r="J134" s="27" t="s">
        <v>23</v>
      </c>
      <c r="K134" s="26" t="s">
        <v>30</v>
      </c>
      <c r="L134" s="45" t="s">
        <v>354</v>
      </c>
      <c r="M134" s="9" t="s">
        <v>173</v>
      </c>
      <c r="N134" s="9">
        <v>54.2</v>
      </c>
      <c r="O134" s="9">
        <v>12.14</v>
      </c>
      <c r="P134" s="10">
        <f t="shared" si="17"/>
        <v>42.06</v>
      </c>
      <c r="Q134" s="11">
        <v>415</v>
      </c>
      <c r="R134" s="12">
        <f t="shared" si="18"/>
        <v>17454.900000000001</v>
      </c>
      <c r="S134" s="11"/>
      <c r="T134" s="13"/>
      <c r="V134" s="19" t="s">
        <v>24</v>
      </c>
      <c r="W134" s="11">
        <v>145</v>
      </c>
      <c r="X134" s="14">
        <f t="shared" si="14"/>
        <v>6098.7000000000007</v>
      </c>
      <c r="Y134" s="15">
        <v>270</v>
      </c>
      <c r="Z134" s="15">
        <f t="shared" si="15"/>
        <v>11356.2</v>
      </c>
      <c r="AA134" s="13">
        <f t="shared" si="16"/>
        <v>34909.800000000003</v>
      </c>
      <c r="AB134" s="16" t="s">
        <v>1154</v>
      </c>
    </row>
    <row r="135" spans="1:28" s="16" customFormat="1" x14ac:dyDescent="0.3">
      <c r="A135" s="18">
        <v>134</v>
      </c>
      <c r="B135" s="8">
        <v>46269</v>
      </c>
      <c r="C135" s="8">
        <v>46270</v>
      </c>
      <c r="D135" s="44">
        <v>260905006</v>
      </c>
      <c r="E135" s="22" t="s">
        <v>355</v>
      </c>
      <c r="F135" s="9" t="s">
        <v>356</v>
      </c>
      <c r="G135" s="9">
        <v>45</v>
      </c>
      <c r="H135" s="43">
        <v>24</v>
      </c>
      <c r="I135" s="26" t="s">
        <v>308</v>
      </c>
      <c r="J135" s="27" t="s">
        <v>23</v>
      </c>
      <c r="K135" s="26" t="s">
        <v>30</v>
      </c>
      <c r="L135" s="45" t="s">
        <v>97</v>
      </c>
      <c r="M135" s="9" t="s">
        <v>173</v>
      </c>
      <c r="N135" s="9">
        <v>59.22</v>
      </c>
      <c r="O135" s="9">
        <v>13.92</v>
      </c>
      <c r="P135" s="10">
        <f t="shared" si="17"/>
        <v>45.3</v>
      </c>
      <c r="Q135" s="11">
        <v>415</v>
      </c>
      <c r="R135" s="12">
        <f t="shared" si="18"/>
        <v>18799.5</v>
      </c>
      <c r="S135" s="11"/>
      <c r="T135" s="13"/>
      <c r="V135" s="19" t="s">
        <v>24</v>
      </c>
      <c r="W135" s="11">
        <v>145</v>
      </c>
      <c r="X135" s="14">
        <f t="shared" si="14"/>
        <v>6568.5</v>
      </c>
      <c r="Y135" s="15">
        <v>260</v>
      </c>
      <c r="Z135" s="15">
        <f t="shared" si="15"/>
        <v>11778</v>
      </c>
      <c r="AA135" s="13">
        <f t="shared" si="16"/>
        <v>37146</v>
      </c>
    </row>
    <row r="136" spans="1:28" s="16" customFormat="1" x14ac:dyDescent="0.3">
      <c r="A136" s="18">
        <v>135</v>
      </c>
      <c r="B136" s="8">
        <v>46269</v>
      </c>
      <c r="C136" s="8">
        <v>46270</v>
      </c>
      <c r="D136" s="44">
        <v>260905007</v>
      </c>
      <c r="E136" s="22" t="s">
        <v>357</v>
      </c>
      <c r="F136" s="9" t="s">
        <v>358</v>
      </c>
      <c r="G136" s="9">
        <v>47</v>
      </c>
      <c r="H136" s="43">
        <v>24</v>
      </c>
      <c r="I136" s="26" t="s">
        <v>308</v>
      </c>
      <c r="J136" s="27" t="s">
        <v>23</v>
      </c>
      <c r="K136" s="26" t="s">
        <v>30</v>
      </c>
      <c r="L136" s="45" t="s">
        <v>114</v>
      </c>
      <c r="M136" s="9" t="s">
        <v>173</v>
      </c>
      <c r="N136" s="9">
        <v>63.32</v>
      </c>
      <c r="O136" s="9">
        <v>16.079999999999998</v>
      </c>
      <c r="P136" s="10">
        <f t="shared" si="17"/>
        <v>47.24</v>
      </c>
      <c r="Q136" s="11">
        <v>415</v>
      </c>
      <c r="R136" s="12">
        <f t="shared" si="18"/>
        <v>19604.600000000002</v>
      </c>
      <c r="S136" s="11"/>
      <c r="T136" s="13"/>
      <c r="V136" s="19" t="s">
        <v>24</v>
      </c>
      <c r="W136" s="11">
        <v>145</v>
      </c>
      <c r="X136" s="14">
        <f t="shared" si="14"/>
        <v>6849.8</v>
      </c>
      <c r="Y136" s="15">
        <v>260</v>
      </c>
      <c r="Z136" s="15">
        <f t="shared" si="15"/>
        <v>12282.4</v>
      </c>
      <c r="AA136" s="13">
        <f t="shared" si="16"/>
        <v>38736.800000000003</v>
      </c>
    </row>
    <row r="137" spans="1:28" s="16" customFormat="1" x14ac:dyDescent="0.3">
      <c r="A137" s="18">
        <v>136</v>
      </c>
      <c r="B137" s="8">
        <v>46269</v>
      </c>
      <c r="C137" s="8">
        <v>46270</v>
      </c>
      <c r="D137" s="44">
        <v>260905008</v>
      </c>
      <c r="E137" s="22" t="s">
        <v>359</v>
      </c>
      <c r="F137" s="9" t="s">
        <v>360</v>
      </c>
      <c r="G137" s="9">
        <v>46</v>
      </c>
      <c r="H137" s="43">
        <v>24</v>
      </c>
      <c r="I137" s="26" t="s">
        <v>308</v>
      </c>
      <c r="J137" s="27" t="s">
        <v>23</v>
      </c>
      <c r="K137" s="26" t="s">
        <v>30</v>
      </c>
      <c r="L137" s="45" t="s">
        <v>123</v>
      </c>
      <c r="M137" s="9" t="s">
        <v>173</v>
      </c>
      <c r="N137" s="9">
        <v>62.52</v>
      </c>
      <c r="O137" s="9">
        <v>15.96</v>
      </c>
      <c r="P137" s="10">
        <f t="shared" si="17"/>
        <v>46.56</v>
      </c>
      <c r="Q137" s="11">
        <v>415</v>
      </c>
      <c r="R137" s="12">
        <f t="shared" si="18"/>
        <v>19322.400000000001</v>
      </c>
      <c r="S137" s="11"/>
      <c r="T137" s="13"/>
      <c r="V137" s="19" t="s">
        <v>24</v>
      </c>
      <c r="W137" s="11">
        <v>145</v>
      </c>
      <c r="X137" s="14">
        <f t="shared" si="14"/>
        <v>6751.2000000000007</v>
      </c>
      <c r="Y137" s="15">
        <v>260</v>
      </c>
      <c r="Z137" s="15">
        <f t="shared" si="15"/>
        <v>12105.6</v>
      </c>
      <c r="AA137" s="13">
        <f t="shared" si="16"/>
        <v>38179.200000000004</v>
      </c>
    </row>
    <row r="138" spans="1:28" s="16" customFormat="1" x14ac:dyDescent="0.3">
      <c r="A138" s="18">
        <v>137</v>
      </c>
      <c r="B138" s="8">
        <v>46269</v>
      </c>
      <c r="C138" s="8">
        <v>46270</v>
      </c>
      <c r="D138" s="44">
        <v>260905009</v>
      </c>
      <c r="E138" s="22" t="s">
        <v>361</v>
      </c>
      <c r="F138" s="9" t="s">
        <v>362</v>
      </c>
      <c r="G138" s="9">
        <v>36</v>
      </c>
      <c r="H138" s="43">
        <v>24</v>
      </c>
      <c r="I138" s="26" t="s">
        <v>308</v>
      </c>
      <c r="J138" s="27" t="s">
        <v>23</v>
      </c>
      <c r="K138" s="26" t="s">
        <v>30</v>
      </c>
      <c r="L138" s="45" t="s">
        <v>162</v>
      </c>
      <c r="M138" s="9" t="s">
        <v>173</v>
      </c>
      <c r="N138" s="9">
        <v>48.64</v>
      </c>
      <c r="O138" s="9">
        <v>11.68</v>
      </c>
      <c r="P138" s="10">
        <f t="shared" si="17"/>
        <v>36.96</v>
      </c>
      <c r="Q138" s="11">
        <v>415</v>
      </c>
      <c r="R138" s="12">
        <f t="shared" si="18"/>
        <v>15338.4</v>
      </c>
      <c r="S138" s="11"/>
      <c r="T138" s="13"/>
      <c r="V138" s="19" t="s">
        <v>24</v>
      </c>
      <c r="W138" s="11">
        <v>145</v>
      </c>
      <c r="X138" s="14">
        <f t="shared" si="14"/>
        <v>5359.2</v>
      </c>
      <c r="Y138" s="15">
        <v>260</v>
      </c>
      <c r="Z138" s="15">
        <f t="shared" si="15"/>
        <v>9609.6</v>
      </c>
      <c r="AA138" s="13">
        <f t="shared" si="16"/>
        <v>30307.199999999997</v>
      </c>
    </row>
    <row r="139" spans="1:28" s="16" customFormat="1" x14ac:dyDescent="0.3">
      <c r="A139" s="18">
        <v>138</v>
      </c>
      <c r="B139" s="8">
        <v>46269</v>
      </c>
      <c r="C139" s="8">
        <v>46270</v>
      </c>
      <c r="D139" s="44">
        <v>260905010</v>
      </c>
      <c r="E139" s="22" t="s">
        <v>363</v>
      </c>
      <c r="F139" s="9" t="s">
        <v>364</v>
      </c>
      <c r="G139" s="9">
        <v>36</v>
      </c>
      <c r="H139" s="43">
        <v>24</v>
      </c>
      <c r="I139" s="26" t="s">
        <v>308</v>
      </c>
      <c r="J139" s="27" t="s">
        <v>23</v>
      </c>
      <c r="K139" s="26" t="s">
        <v>30</v>
      </c>
      <c r="L139" s="45" t="s">
        <v>166</v>
      </c>
      <c r="M139" s="9" t="s">
        <v>173</v>
      </c>
      <c r="N139" s="47">
        <v>47.84</v>
      </c>
      <c r="O139" s="47">
        <v>11.46</v>
      </c>
      <c r="P139" s="10">
        <f t="shared" si="17"/>
        <v>36.380000000000003</v>
      </c>
      <c r="Q139" s="11">
        <v>415</v>
      </c>
      <c r="R139" s="12">
        <f t="shared" si="18"/>
        <v>15097.7</v>
      </c>
      <c r="S139" s="11"/>
      <c r="T139" s="13"/>
      <c r="V139" s="19" t="s">
        <v>24</v>
      </c>
      <c r="W139" s="11">
        <v>145</v>
      </c>
      <c r="X139" s="14">
        <f t="shared" si="14"/>
        <v>5275.1</v>
      </c>
      <c r="Y139" s="15">
        <v>260</v>
      </c>
      <c r="Z139" s="15">
        <f t="shared" si="15"/>
        <v>9458.8000000000011</v>
      </c>
      <c r="AA139" s="13">
        <f t="shared" si="16"/>
        <v>29831.600000000006</v>
      </c>
    </row>
    <row r="140" spans="1:28" s="16" customFormat="1" x14ac:dyDescent="0.3">
      <c r="A140" s="18">
        <v>139</v>
      </c>
      <c r="B140" s="8">
        <v>46269</v>
      </c>
      <c r="C140" s="8">
        <v>46270</v>
      </c>
      <c r="D140" s="44">
        <v>260905011</v>
      </c>
      <c r="E140" s="22" t="s">
        <v>365</v>
      </c>
      <c r="F140" s="9" t="s">
        <v>366</v>
      </c>
      <c r="G140" s="9">
        <v>47</v>
      </c>
      <c r="H140" s="43">
        <v>24</v>
      </c>
      <c r="I140" s="26" t="s">
        <v>308</v>
      </c>
      <c r="J140" s="27" t="s">
        <v>23</v>
      </c>
      <c r="K140" s="26" t="s">
        <v>30</v>
      </c>
      <c r="L140" s="45" t="s">
        <v>367</v>
      </c>
      <c r="M140" s="9" t="s">
        <v>173</v>
      </c>
      <c r="N140" s="47">
        <v>64.3</v>
      </c>
      <c r="O140" s="47">
        <v>16.78</v>
      </c>
      <c r="P140" s="10">
        <f t="shared" si="17"/>
        <v>47.519999999999996</v>
      </c>
      <c r="Q140" s="11">
        <v>415</v>
      </c>
      <c r="R140" s="12">
        <f t="shared" si="18"/>
        <v>19720.8</v>
      </c>
      <c r="S140" s="11"/>
      <c r="T140" s="13"/>
      <c r="V140" s="19" t="s">
        <v>24</v>
      </c>
      <c r="W140" s="11">
        <v>145</v>
      </c>
      <c r="X140" s="14">
        <f t="shared" si="14"/>
        <v>6890.4</v>
      </c>
      <c r="Y140" s="15">
        <v>260</v>
      </c>
      <c r="Z140" s="15">
        <f t="shared" si="15"/>
        <v>12355.199999999999</v>
      </c>
      <c r="AA140" s="13">
        <f t="shared" si="16"/>
        <v>38966.399999999994</v>
      </c>
    </row>
    <row r="141" spans="1:28" s="16" customFormat="1" x14ac:dyDescent="0.3">
      <c r="A141" s="18">
        <v>140</v>
      </c>
      <c r="B141" s="8">
        <v>46269</v>
      </c>
      <c r="C141" s="8">
        <v>46270</v>
      </c>
      <c r="D141" s="44">
        <v>260905012</v>
      </c>
      <c r="E141" s="22" t="s">
        <v>368</v>
      </c>
      <c r="F141" s="9" t="s">
        <v>369</v>
      </c>
      <c r="G141" s="9">
        <v>46</v>
      </c>
      <c r="H141" s="43">
        <v>24</v>
      </c>
      <c r="I141" s="26" t="s">
        <v>308</v>
      </c>
      <c r="J141" s="27" t="s">
        <v>23</v>
      </c>
      <c r="K141" s="26" t="s">
        <v>30</v>
      </c>
      <c r="L141" s="45" t="s">
        <v>184</v>
      </c>
      <c r="M141" s="9" t="s">
        <v>173</v>
      </c>
      <c r="N141" s="47">
        <v>62.6</v>
      </c>
      <c r="O141" s="47">
        <v>16.46</v>
      </c>
      <c r="P141" s="10">
        <f t="shared" si="17"/>
        <v>46.14</v>
      </c>
      <c r="Q141" s="11">
        <v>415</v>
      </c>
      <c r="R141" s="12">
        <f t="shared" si="18"/>
        <v>19148.099999999999</v>
      </c>
      <c r="S141" s="11"/>
      <c r="T141" s="13"/>
      <c r="V141" s="19" t="s">
        <v>24</v>
      </c>
      <c r="W141" s="11">
        <v>145</v>
      </c>
      <c r="X141" s="14">
        <f t="shared" si="14"/>
        <v>6690.3</v>
      </c>
      <c r="Y141" s="15">
        <v>260</v>
      </c>
      <c r="Z141" s="15">
        <f t="shared" si="15"/>
        <v>11996.4</v>
      </c>
      <c r="AA141" s="13">
        <f t="shared" si="16"/>
        <v>37834.799999999996</v>
      </c>
    </row>
    <row r="142" spans="1:28" s="16" customFormat="1" x14ac:dyDescent="0.3">
      <c r="A142" s="18">
        <v>141</v>
      </c>
      <c r="B142" s="8">
        <v>46269</v>
      </c>
      <c r="C142" s="8">
        <v>46270</v>
      </c>
      <c r="D142" s="44">
        <v>260905013</v>
      </c>
      <c r="E142" s="22" t="s">
        <v>370</v>
      </c>
      <c r="F142" s="9" t="s">
        <v>371</v>
      </c>
      <c r="G142" s="9">
        <v>45</v>
      </c>
      <c r="H142" s="43">
        <v>24</v>
      </c>
      <c r="I142" s="26" t="s">
        <v>308</v>
      </c>
      <c r="J142" s="27" t="s">
        <v>23</v>
      </c>
      <c r="K142" s="26" t="s">
        <v>30</v>
      </c>
      <c r="L142" s="45" t="s">
        <v>319</v>
      </c>
      <c r="M142" s="9" t="s">
        <v>173</v>
      </c>
      <c r="N142" s="47">
        <v>61.8</v>
      </c>
      <c r="O142" s="47">
        <v>15.9</v>
      </c>
      <c r="P142" s="10">
        <f>N142-O142</f>
        <v>45.9</v>
      </c>
      <c r="Q142" s="11">
        <v>415</v>
      </c>
      <c r="R142" s="12">
        <f t="shared" si="18"/>
        <v>19048.5</v>
      </c>
      <c r="S142" s="11"/>
      <c r="T142" s="13"/>
      <c r="V142" s="19" t="s">
        <v>24</v>
      </c>
      <c r="W142" s="11">
        <v>145</v>
      </c>
      <c r="X142" s="14">
        <f t="shared" si="14"/>
        <v>6655.5</v>
      </c>
      <c r="Y142" s="15">
        <v>260</v>
      </c>
      <c r="Z142" s="15">
        <f t="shared" si="15"/>
        <v>11934</v>
      </c>
      <c r="AA142" s="13">
        <f t="shared" si="16"/>
        <v>37638</v>
      </c>
    </row>
    <row r="143" spans="1:28" s="16" customFormat="1" x14ac:dyDescent="0.3">
      <c r="A143" s="18">
        <v>142</v>
      </c>
      <c r="B143" s="8">
        <v>46269</v>
      </c>
      <c r="C143" s="8">
        <v>46270</v>
      </c>
      <c r="D143" s="44">
        <v>260905014</v>
      </c>
      <c r="E143" s="22" t="s">
        <v>372</v>
      </c>
      <c r="F143" s="9" t="s">
        <v>373</v>
      </c>
      <c r="G143" s="9">
        <v>42</v>
      </c>
      <c r="H143" s="37">
        <v>131</v>
      </c>
      <c r="I143" s="26" t="s">
        <v>374</v>
      </c>
      <c r="J143" s="36" t="s">
        <v>23</v>
      </c>
      <c r="K143" s="26" t="s">
        <v>30</v>
      </c>
      <c r="L143" s="45" t="s">
        <v>70</v>
      </c>
      <c r="M143" s="9" t="s">
        <v>31</v>
      </c>
      <c r="N143" s="47">
        <v>58.48</v>
      </c>
      <c r="O143" s="47">
        <v>15.6</v>
      </c>
      <c r="P143" s="10">
        <f>N143-O143</f>
        <v>42.879999999999995</v>
      </c>
      <c r="Q143" s="11">
        <v>535</v>
      </c>
      <c r="R143" s="12">
        <f t="shared" si="18"/>
        <v>22940.799999999999</v>
      </c>
      <c r="S143" s="11"/>
      <c r="T143" s="13"/>
      <c r="V143" s="19" t="s">
        <v>24</v>
      </c>
      <c r="W143" s="11">
        <v>145</v>
      </c>
      <c r="X143" s="14">
        <f t="shared" si="14"/>
        <v>6217.5999999999995</v>
      </c>
      <c r="Y143" s="15">
        <v>200</v>
      </c>
      <c r="Z143" s="15">
        <f t="shared" si="15"/>
        <v>8576</v>
      </c>
      <c r="AA143" s="13">
        <f t="shared" si="16"/>
        <v>37734.399999999994</v>
      </c>
    </row>
    <row r="144" spans="1:28" s="16" customFormat="1" x14ac:dyDescent="0.3">
      <c r="A144" s="18">
        <v>143</v>
      </c>
      <c r="B144" s="8">
        <v>46269</v>
      </c>
      <c r="C144" s="8">
        <v>46270</v>
      </c>
      <c r="D144" s="44">
        <v>260905015</v>
      </c>
      <c r="E144" s="22" t="s">
        <v>375</v>
      </c>
      <c r="F144" s="9" t="s">
        <v>376</v>
      </c>
      <c r="G144" s="9">
        <v>41</v>
      </c>
      <c r="H144" s="37">
        <v>131</v>
      </c>
      <c r="I144" s="26" t="s">
        <v>374</v>
      </c>
      <c r="J144" s="36" t="s">
        <v>23</v>
      </c>
      <c r="K144" s="26" t="s">
        <v>30</v>
      </c>
      <c r="L144" s="45" t="s">
        <v>74</v>
      </c>
      <c r="M144" s="9" t="s">
        <v>108</v>
      </c>
      <c r="N144" s="47">
        <v>57.16</v>
      </c>
      <c r="O144" s="47">
        <v>15.64</v>
      </c>
      <c r="P144" s="10">
        <f>N144-O144</f>
        <v>41.519999999999996</v>
      </c>
      <c r="Q144" s="11">
        <v>285</v>
      </c>
      <c r="R144" s="12">
        <f t="shared" si="18"/>
        <v>11833.199999999999</v>
      </c>
      <c r="S144" s="11"/>
      <c r="T144" s="13"/>
      <c r="V144" s="19" t="s">
        <v>24</v>
      </c>
      <c r="W144" s="11">
        <v>145</v>
      </c>
      <c r="X144" s="14">
        <f t="shared" si="14"/>
        <v>6020.4</v>
      </c>
      <c r="Y144" s="15">
        <v>200</v>
      </c>
      <c r="Z144" s="15">
        <f t="shared" si="15"/>
        <v>8304</v>
      </c>
      <c r="AA144" s="13">
        <f t="shared" si="16"/>
        <v>26157.599999999999</v>
      </c>
    </row>
    <row r="145" spans="1:28" s="16" customFormat="1" x14ac:dyDescent="0.3">
      <c r="A145" s="18">
        <v>144</v>
      </c>
      <c r="B145" s="8">
        <v>46269</v>
      </c>
      <c r="C145" s="8">
        <v>46270</v>
      </c>
      <c r="D145" s="44" t="s">
        <v>377</v>
      </c>
      <c r="E145" s="21"/>
      <c r="F145" s="9"/>
      <c r="G145" s="9"/>
      <c r="H145" s="48"/>
      <c r="I145" s="26" t="s">
        <v>378</v>
      </c>
      <c r="J145" s="36" t="s">
        <v>23</v>
      </c>
      <c r="K145" s="26" t="s">
        <v>30</v>
      </c>
      <c r="L145" s="17" t="s">
        <v>379</v>
      </c>
      <c r="M145" s="9" t="s">
        <v>31</v>
      </c>
      <c r="N145" s="47">
        <v>18.48</v>
      </c>
      <c r="O145" s="47">
        <v>7.06</v>
      </c>
      <c r="P145" s="10">
        <f t="shared" si="17"/>
        <v>11.420000000000002</v>
      </c>
      <c r="Q145" s="11">
        <v>530</v>
      </c>
      <c r="R145" s="12">
        <f t="shared" si="18"/>
        <v>6052.6000000000013</v>
      </c>
      <c r="S145" s="11"/>
      <c r="T145" s="13"/>
      <c r="V145" s="19" t="s">
        <v>181</v>
      </c>
      <c r="W145" s="11"/>
      <c r="X145" s="14">
        <f t="shared" si="14"/>
        <v>0</v>
      </c>
      <c r="Y145" s="15"/>
      <c r="Z145" s="15">
        <f t="shared" si="15"/>
        <v>0</v>
      </c>
      <c r="AA145" s="13">
        <f t="shared" si="16"/>
        <v>6052.6000000000013</v>
      </c>
    </row>
    <row r="146" spans="1:28" s="16" customFormat="1" x14ac:dyDescent="0.3">
      <c r="A146" s="18">
        <v>145</v>
      </c>
      <c r="B146" s="8">
        <v>46269</v>
      </c>
      <c r="C146" s="8">
        <v>46270</v>
      </c>
      <c r="D146" s="44">
        <v>260905016</v>
      </c>
      <c r="E146" s="22" t="s">
        <v>380</v>
      </c>
      <c r="F146" s="9" t="s">
        <v>381</v>
      </c>
      <c r="G146" s="9">
        <v>47</v>
      </c>
      <c r="H146" s="43">
        <v>24</v>
      </c>
      <c r="I146" s="26" t="s">
        <v>308</v>
      </c>
      <c r="J146" s="27" t="s">
        <v>23</v>
      </c>
      <c r="K146" s="26" t="s">
        <v>30</v>
      </c>
      <c r="L146" s="17" t="s">
        <v>132</v>
      </c>
      <c r="M146" s="9" t="s">
        <v>173</v>
      </c>
      <c r="N146" s="47">
        <v>62.66</v>
      </c>
      <c r="O146" s="47">
        <v>15.66</v>
      </c>
      <c r="P146" s="10">
        <f t="shared" si="17"/>
        <v>47</v>
      </c>
      <c r="Q146" s="11">
        <v>415</v>
      </c>
      <c r="R146" s="12">
        <f t="shared" si="18"/>
        <v>19505</v>
      </c>
      <c r="S146" s="11"/>
      <c r="T146" s="13"/>
      <c r="V146" s="19" t="s">
        <v>24</v>
      </c>
      <c r="W146" s="11">
        <v>145</v>
      </c>
      <c r="X146" s="14">
        <f t="shared" si="14"/>
        <v>6815</v>
      </c>
      <c r="Y146" s="15">
        <v>260</v>
      </c>
      <c r="Z146" s="15">
        <f t="shared" si="15"/>
        <v>12220</v>
      </c>
      <c r="AA146" s="13">
        <f t="shared" si="16"/>
        <v>38540</v>
      </c>
    </row>
    <row r="147" spans="1:28" s="16" customFormat="1" x14ac:dyDescent="0.3">
      <c r="A147" s="18">
        <v>146</v>
      </c>
      <c r="B147" s="8">
        <v>46269</v>
      </c>
      <c r="C147" s="8">
        <v>46270</v>
      </c>
      <c r="D147" s="44" t="s">
        <v>382</v>
      </c>
      <c r="E147" s="21"/>
      <c r="F147" s="9"/>
      <c r="G147" s="9"/>
      <c r="H147" s="48"/>
      <c r="I147" s="26" t="s">
        <v>378</v>
      </c>
      <c r="J147" s="36" t="s">
        <v>23</v>
      </c>
      <c r="K147" s="26" t="s">
        <v>30</v>
      </c>
      <c r="L147" s="17" t="s">
        <v>383</v>
      </c>
      <c r="M147" s="9" t="s">
        <v>31</v>
      </c>
      <c r="N147" s="47">
        <v>9.84</v>
      </c>
      <c r="O147" s="47">
        <v>3.54</v>
      </c>
      <c r="P147" s="10">
        <f t="shared" si="17"/>
        <v>6.3</v>
      </c>
      <c r="Q147" s="11">
        <v>530</v>
      </c>
      <c r="R147" s="12">
        <f t="shared" si="18"/>
        <v>3339</v>
      </c>
      <c r="S147" s="11"/>
      <c r="T147" s="13"/>
      <c r="V147" s="19" t="s">
        <v>181</v>
      </c>
      <c r="W147" s="11"/>
      <c r="X147" s="14">
        <f t="shared" si="14"/>
        <v>0</v>
      </c>
      <c r="Y147" s="15"/>
      <c r="Z147" s="15">
        <f t="shared" si="15"/>
        <v>0</v>
      </c>
      <c r="AA147" s="13">
        <f t="shared" si="16"/>
        <v>3339</v>
      </c>
    </row>
    <row r="148" spans="1:28" s="16" customFormat="1" x14ac:dyDescent="0.3">
      <c r="A148" s="18">
        <v>147</v>
      </c>
      <c r="B148" s="8">
        <v>46269</v>
      </c>
      <c r="C148" s="8">
        <v>46270</v>
      </c>
      <c r="D148" s="44">
        <v>260905017</v>
      </c>
      <c r="E148" s="22" t="s">
        <v>384</v>
      </c>
      <c r="F148" s="9" t="s">
        <v>385</v>
      </c>
      <c r="G148" s="9">
        <v>35</v>
      </c>
      <c r="H148" s="37">
        <v>131</v>
      </c>
      <c r="I148" s="26" t="s">
        <v>374</v>
      </c>
      <c r="J148" s="36" t="s">
        <v>23</v>
      </c>
      <c r="K148" s="26" t="s">
        <v>30</v>
      </c>
      <c r="L148" s="11" t="s">
        <v>386</v>
      </c>
      <c r="M148" s="11" t="s">
        <v>31</v>
      </c>
      <c r="N148" s="47">
        <v>47.22</v>
      </c>
      <c r="O148" s="47">
        <v>11.94</v>
      </c>
      <c r="P148" s="10">
        <f t="shared" si="17"/>
        <v>35.28</v>
      </c>
      <c r="Q148" s="11">
        <v>535</v>
      </c>
      <c r="R148" s="12">
        <f t="shared" si="18"/>
        <v>18874.8</v>
      </c>
      <c r="S148" s="11"/>
      <c r="T148" s="13"/>
      <c r="V148" s="19" t="s">
        <v>24</v>
      </c>
      <c r="W148" s="11">
        <v>145</v>
      </c>
      <c r="X148" s="14">
        <f t="shared" si="14"/>
        <v>5115.6000000000004</v>
      </c>
      <c r="Y148" s="15">
        <v>200</v>
      </c>
      <c r="Z148" s="15">
        <f t="shared" si="15"/>
        <v>7056</v>
      </c>
      <c r="AA148" s="13">
        <f t="shared" si="16"/>
        <v>31046.400000000001</v>
      </c>
    </row>
    <row r="149" spans="1:28" s="16" customFormat="1" x14ac:dyDescent="0.3">
      <c r="A149" s="18">
        <v>148</v>
      </c>
      <c r="B149" s="8">
        <v>46270</v>
      </c>
      <c r="C149" s="8">
        <v>46270</v>
      </c>
      <c r="D149" s="20">
        <v>260905018</v>
      </c>
      <c r="E149" s="22" t="s">
        <v>387</v>
      </c>
      <c r="F149" s="9" t="s">
        <v>388</v>
      </c>
      <c r="G149" s="9">
        <v>48</v>
      </c>
      <c r="H149" s="43">
        <v>24</v>
      </c>
      <c r="I149" s="26" t="s">
        <v>308</v>
      </c>
      <c r="J149" s="27" t="s">
        <v>23</v>
      </c>
      <c r="K149" s="26" t="s">
        <v>30</v>
      </c>
      <c r="L149" s="48" t="s">
        <v>389</v>
      </c>
      <c r="M149" s="9" t="s">
        <v>173</v>
      </c>
      <c r="N149" s="9">
        <v>63.62</v>
      </c>
      <c r="O149" s="9">
        <v>14.86</v>
      </c>
      <c r="P149" s="10">
        <f>N149-O149</f>
        <v>48.76</v>
      </c>
      <c r="Q149" s="11">
        <v>415</v>
      </c>
      <c r="R149" s="12">
        <f t="shared" si="18"/>
        <v>20235.399999999998</v>
      </c>
      <c r="S149" s="11"/>
      <c r="T149" s="13"/>
      <c r="V149" s="19" t="s">
        <v>24</v>
      </c>
      <c r="W149" s="11">
        <v>145</v>
      </c>
      <c r="X149" s="14">
        <f t="shared" ref="X149:X180" si="19">P149*W149</f>
        <v>7070.2</v>
      </c>
      <c r="Y149" s="15">
        <v>260</v>
      </c>
      <c r="Z149" s="15">
        <f t="shared" ref="Z149:Z180" si="20">P149*Y149</f>
        <v>12677.6</v>
      </c>
      <c r="AA149" s="13">
        <f t="shared" ref="AA149:AA180" si="21">R149+X149+Z149</f>
        <v>39983.199999999997</v>
      </c>
      <c r="AB149" s="29"/>
    </row>
    <row r="150" spans="1:28" s="16" customFormat="1" x14ac:dyDescent="0.3">
      <c r="A150" s="18">
        <v>149</v>
      </c>
      <c r="B150" s="8">
        <v>46270</v>
      </c>
      <c r="C150" s="8">
        <v>46270</v>
      </c>
      <c r="D150" s="20" t="s">
        <v>390</v>
      </c>
      <c r="E150" s="22"/>
      <c r="F150" s="9"/>
      <c r="G150" s="9"/>
      <c r="H150" s="31"/>
      <c r="I150" s="50" t="s">
        <v>391</v>
      </c>
      <c r="J150" s="36" t="s">
        <v>23</v>
      </c>
      <c r="K150" s="26" t="s">
        <v>297</v>
      </c>
      <c r="L150" s="9" t="s">
        <v>392</v>
      </c>
      <c r="M150" s="9" t="s">
        <v>31</v>
      </c>
      <c r="N150" s="9">
        <v>9.44</v>
      </c>
      <c r="O150" s="9">
        <v>3.8</v>
      </c>
      <c r="P150" s="10">
        <f>N150-O150</f>
        <v>5.64</v>
      </c>
      <c r="Q150" s="11">
        <v>550</v>
      </c>
      <c r="R150" s="12">
        <f t="shared" si="18"/>
        <v>3102</v>
      </c>
      <c r="S150" s="11">
        <v>3102</v>
      </c>
      <c r="T150" s="13"/>
      <c r="V150" s="19" t="s">
        <v>24</v>
      </c>
      <c r="W150" s="11"/>
      <c r="X150" s="14">
        <f t="shared" si="19"/>
        <v>0</v>
      </c>
      <c r="Y150" s="15"/>
      <c r="Z150" s="15">
        <f t="shared" si="20"/>
        <v>0</v>
      </c>
      <c r="AA150" s="13">
        <f t="shared" si="21"/>
        <v>3102</v>
      </c>
    </row>
    <row r="151" spans="1:28" s="28" customFormat="1" x14ac:dyDescent="0.3">
      <c r="A151" s="18">
        <v>150</v>
      </c>
      <c r="B151" s="8">
        <v>46270</v>
      </c>
      <c r="C151" s="8">
        <v>46270</v>
      </c>
      <c r="D151" s="20">
        <v>260905019</v>
      </c>
      <c r="E151" s="22" t="s">
        <v>393</v>
      </c>
      <c r="F151" s="9" t="s">
        <v>394</v>
      </c>
      <c r="G151" s="9">
        <v>46</v>
      </c>
      <c r="H151" s="37">
        <v>131</v>
      </c>
      <c r="I151" s="26" t="s">
        <v>374</v>
      </c>
      <c r="J151" s="36" t="s">
        <v>23</v>
      </c>
      <c r="K151" s="26" t="s">
        <v>30</v>
      </c>
      <c r="L151" s="9" t="s">
        <v>395</v>
      </c>
      <c r="M151" s="9" t="s">
        <v>108</v>
      </c>
      <c r="N151" s="9">
        <v>63.38</v>
      </c>
      <c r="O151" s="9">
        <v>16.46</v>
      </c>
      <c r="P151" s="10">
        <f t="shared" ref="P151:P175" si="22">N151-O151</f>
        <v>46.92</v>
      </c>
      <c r="Q151" s="11">
        <v>285</v>
      </c>
      <c r="R151" s="12">
        <f t="shared" si="18"/>
        <v>13372.2</v>
      </c>
      <c r="S151" s="11"/>
      <c r="T151" s="13"/>
      <c r="V151" s="19" t="s">
        <v>24</v>
      </c>
      <c r="W151" s="11">
        <v>145</v>
      </c>
      <c r="X151" s="14">
        <f t="shared" si="19"/>
        <v>6803.4000000000005</v>
      </c>
      <c r="Y151" s="15">
        <v>200</v>
      </c>
      <c r="Z151" s="15">
        <f t="shared" si="20"/>
        <v>9384</v>
      </c>
      <c r="AA151" s="13">
        <f t="shared" si="21"/>
        <v>29559.600000000002</v>
      </c>
    </row>
    <row r="152" spans="1:28" s="16" customFormat="1" x14ac:dyDescent="0.3">
      <c r="A152" s="18">
        <v>151</v>
      </c>
      <c r="B152" s="8">
        <v>46270</v>
      </c>
      <c r="C152" s="8">
        <v>46270</v>
      </c>
      <c r="D152" s="20">
        <v>260905020</v>
      </c>
      <c r="E152" s="22" t="s">
        <v>396</v>
      </c>
      <c r="F152" s="9" t="s">
        <v>397</v>
      </c>
      <c r="G152" s="9">
        <v>43</v>
      </c>
      <c r="H152" s="43">
        <v>24</v>
      </c>
      <c r="I152" s="26" t="s">
        <v>308</v>
      </c>
      <c r="J152" s="27" t="s">
        <v>23</v>
      </c>
      <c r="K152" s="26" t="s">
        <v>30</v>
      </c>
      <c r="L152" s="48" t="s">
        <v>170</v>
      </c>
      <c r="M152" s="9" t="s">
        <v>173</v>
      </c>
      <c r="N152" s="9">
        <v>58.08</v>
      </c>
      <c r="O152" s="9">
        <v>15.02</v>
      </c>
      <c r="P152" s="10">
        <f t="shared" si="22"/>
        <v>43.06</v>
      </c>
      <c r="Q152" s="11">
        <v>415</v>
      </c>
      <c r="R152" s="12">
        <f t="shared" si="18"/>
        <v>17869.900000000001</v>
      </c>
      <c r="S152" s="11"/>
      <c r="T152" s="13"/>
      <c r="V152" s="19" t="s">
        <v>24</v>
      </c>
      <c r="W152" s="11">
        <v>145</v>
      </c>
      <c r="X152" s="14">
        <f t="shared" si="19"/>
        <v>6243.7000000000007</v>
      </c>
      <c r="Y152" s="15">
        <v>260</v>
      </c>
      <c r="Z152" s="15">
        <f t="shared" si="20"/>
        <v>11195.6</v>
      </c>
      <c r="AA152" s="13">
        <f t="shared" si="21"/>
        <v>35309.200000000004</v>
      </c>
    </row>
    <row r="153" spans="1:28" s="16" customFormat="1" x14ac:dyDescent="0.3">
      <c r="A153" s="18">
        <v>152</v>
      </c>
      <c r="B153" s="8">
        <v>46270</v>
      </c>
      <c r="C153" s="8">
        <v>46270</v>
      </c>
      <c r="D153" s="20">
        <v>260905021</v>
      </c>
      <c r="E153" s="22" t="s">
        <v>398</v>
      </c>
      <c r="F153" s="9" t="s">
        <v>399</v>
      </c>
      <c r="G153" s="9"/>
      <c r="H153" s="37">
        <v>136</v>
      </c>
      <c r="I153" s="50" t="s">
        <v>69</v>
      </c>
      <c r="J153" s="36" t="s">
        <v>23</v>
      </c>
      <c r="K153" s="26" t="s">
        <v>30</v>
      </c>
      <c r="L153" s="9" t="s">
        <v>274</v>
      </c>
      <c r="M153" s="9" t="s">
        <v>71</v>
      </c>
      <c r="N153" s="9">
        <v>47.4</v>
      </c>
      <c r="O153" s="9">
        <v>11.44</v>
      </c>
      <c r="P153" s="10">
        <f t="shared" si="22"/>
        <v>35.96</v>
      </c>
      <c r="Q153" s="11">
        <v>260</v>
      </c>
      <c r="R153" s="12">
        <f t="shared" si="18"/>
        <v>9349.6</v>
      </c>
      <c r="S153" s="11"/>
      <c r="T153" s="13"/>
      <c r="V153" s="19" t="s">
        <v>24</v>
      </c>
      <c r="W153" s="11"/>
      <c r="X153" s="14">
        <f t="shared" si="19"/>
        <v>0</v>
      </c>
      <c r="Y153" s="15">
        <v>115</v>
      </c>
      <c r="Z153" s="15">
        <f t="shared" si="20"/>
        <v>4135.4000000000005</v>
      </c>
      <c r="AA153" s="13">
        <f t="shared" si="21"/>
        <v>13485</v>
      </c>
    </row>
    <row r="154" spans="1:28" s="28" customFormat="1" x14ac:dyDescent="0.3">
      <c r="A154" s="18">
        <v>153</v>
      </c>
      <c r="B154" s="8">
        <v>46270</v>
      </c>
      <c r="C154" s="8">
        <v>46270</v>
      </c>
      <c r="D154" s="20" t="s">
        <v>400</v>
      </c>
      <c r="E154" s="21"/>
      <c r="F154" s="9"/>
      <c r="G154" s="9"/>
      <c r="H154" s="34">
        <v>270</v>
      </c>
      <c r="I154" s="35" t="s">
        <v>401</v>
      </c>
      <c r="J154" s="36" t="s">
        <v>23</v>
      </c>
      <c r="K154" s="26" t="s">
        <v>297</v>
      </c>
      <c r="L154" s="48" t="s">
        <v>402</v>
      </c>
      <c r="M154" s="9" t="s">
        <v>31</v>
      </c>
      <c r="N154" s="9">
        <v>9.7799999999999994</v>
      </c>
      <c r="O154" s="9">
        <v>3.5</v>
      </c>
      <c r="P154" s="10">
        <f t="shared" si="22"/>
        <v>6.2799999999999994</v>
      </c>
      <c r="Q154" s="11">
        <v>550</v>
      </c>
      <c r="R154" s="12">
        <f t="shared" si="18"/>
        <v>3453.9999999999995</v>
      </c>
      <c r="S154" s="11">
        <v>3454</v>
      </c>
      <c r="T154" s="13"/>
      <c r="V154" s="19" t="s">
        <v>24</v>
      </c>
      <c r="W154" s="11"/>
      <c r="X154" s="14">
        <f t="shared" si="19"/>
        <v>0</v>
      </c>
      <c r="Y154" s="15"/>
      <c r="Z154" s="15">
        <f t="shared" si="20"/>
        <v>0</v>
      </c>
      <c r="AA154" s="13">
        <f t="shared" si="21"/>
        <v>3453.9999999999995</v>
      </c>
    </row>
    <row r="155" spans="1:28" s="16" customFormat="1" x14ac:dyDescent="0.3">
      <c r="A155" s="18">
        <v>154</v>
      </c>
      <c r="B155" s="8">
        <v>46270</v>
      </c>
      <c r="C155" s="8">
        <v>46270</v>
      </c>
      <c r="D155" s="20" t="s">
        <v>403</v>
      </c>
      <c r="E155" s="22"/>
      <c r="F155" s="9"/>
      <c r="G155" s="9"/>
      <c r="H155" s="31"/>
      <c r="I155" s="26" t="s">
        <v>404</v>
      </c>
      <c r="J155" s="36" t="s">
        <v>23</v>
      </c>
      <c r="K155" s="26" t="s">
        <v>30</v>
      </c>
      <c r="L155" s="48" t="s">
        <v>70</v>
      </c>
      <c r="M155" s="9" t="s">
        <v>405</v>
      </c>
      <c r="N155" s="9">
        <v>55.72</v>
      </c>
      <c r="O155" s="9">
        <v>15.62</v>
      </c>
      <c r="P155" s="10">
        <f t="shared" si="22"/>
        <v>40.1</v>
      </c>
      <c r="Q155" s="11">
        <v>0</v>
      </c>
      <c r="R155" s="12">
        <f t="shared" si="18"/>
        <v>0</v>
      </c>
      <c r="S155" s="11"/>
      <c r="T155" s="13"/>
      <c r="V155" s="19" t="s">
        <v>24</v>
      </c>
      <c r="W155" s="11"/>
      <c r="X155" s="14">
        <f t="shared" si="19"/>
        <v>0</v>
      </c>
      <c r="Y155" s="15"/>
      <c r="Z155" s="15">
        <f t="shared" si="20"/>
        <v>0</v>
      </c>
      <c r="AA155" s="13">
        <f t="shared" si="21"/>
        <v>0</v>
      </c>
    </row>
    <row r="156" spans="1:28" s="16" customFormat="1" x14ac:dyDescent="0.3">
      <c r="A156" s="18">
        <v>155</v>
      </c>
      <c r="B156" s="8">
        <v>46270</v>
      </c>
      <c r="C156" s="8">
        <v>46270</v>
      </c>
      <c r="D156" s="20" t="s">
        <v>406</v>
      </c>
      <c r="E156" s="22"/>
      <c r="F156" s="9"/>
      <c r="G156" s="9"/>
      <c r="H156" s="31"/>
      <c r="I156" s="50" t="s">
        <v>407</v>
      </c>
      <c r="J156" s="36" t="s">
        <v>23</v>
      </c>
      <c r="K156" s="26" t="s">
        <v>30</v>
      </c>
      <c r="L156" s="48" t="s">
        <v>61</v>
      </c>
      <c r="M156" s="9" t="s">
        <v>405</v>
      </c>
      <c r="N156" s="9">
        <v>47.34</v>
      </c>
      <c r="O156" s="9">
        <v>11.78</v>
      </c>
      <c r="P156" s="10">
        <f t="shared" si="22"/>
        <v>35.56</v>
      </c>
      <c r="Q156" s="11">
        <v>120</v>
      </c>
      <c r="R156" s="12">
        <f t="shared" si="18"/>
        <v>4267.2000000000007</v>
      </c>
      <c r="S156" s="11"/>
      <c r="T156" s="13"/>
      <c r="V156" s="19" t="s">
        <v>181</v>
      </c>
      <c r="W156" s="11"/>
      <c r="X156" s="14">
        <f t="shared" si="19"/>
        <v>0</v>
      </c>
      <c r="Y156" s="15"/>
      <c r="Z156" s="15">
        <f t="shared" si="20"/>
        <v>0</v>
      </c>
      <c r="AA156" s="13">
        <f t="shared" si="21"/>
        <v>4267.2000000000007</v>
      </c>
    </row>
    <row r="157" spans="1:28" s="16" customFormat="1" x14ac:dyDescent="0.3">
      <c r="A157" s="18">
        <v>156</v>
      </c>
      <c r="B157" s="8">
        <v>46270</v>
      </c>
      <c r="C157" s="8">
        <v>46270</v>
      </c>
      <c r="D157" s="40" t="s">
        <v>408</v>
      </c>
      <c r="E157" s="22"/>
      <c r="F157" s="9"/>
      <c r="G157" s="9"/>
      <c r="H157" s="32"/>
      <c r="I157" s="26" t="s">
        <v>333</v>
      </c>
      <c r="J157" s="36" t="s">
        <v>23</v>
      </c>
      <c r="K157" s="26" t="s">
        <v>30</v>
      </c>
      <c r="L157" s="48" t="s">
        <v>36</v>
      </c>
      <c r="M157" s="9" t="s">
        <v>233</v>
      </c>
      <c r="N157" s="9">
        <v>29.98</v>
      </c>
      <c r="O157" s="9">
        <v>14.36</v>
      </c>
      <c r="P157" s="10">
        <f t="shared" si="22"/>
        <v>15.620000000000001</v>
      </c>
      <c r="Q157" s="11">
        <v>0</v>
      </c>
      <c r="R157" s="12">
        <f t="shared" si="18"/>
        <v>0</v>
      </c>
      <c r="S157" s="11"/>
      <c r="T157" s="13"/>
      <c r="V157" s="19" t="s">
        <v>24</v>
      </c>
      <c r="W157" s="11"/>
      <c r="X157" s="14">
        <f t="shared" si="19"/>
        <v>0</v>
      </c>
      <c r="Y157" s="15"/>
      <c r="Z157" s="15">
        <f t="shared" si="20"/>
        <v>0</v>
      </c>
      <c r="AA157" s="13">
        <f t="shared" si="21"/>
        <v>0</v>
      </c>
    </row>
    <row r="158" spans="1:28" s="16" customFormat="1" x14ac:dyDescent="0.3">
      <c r="A158" s="18">
        <v>157</v>
      </c>
      <c r="B158" s="8">
        <v>46270</v>
      </c>
      <c r="C158" s="8">
        <v>46270</v>
      </c>
      <c r="D158" s="20">
        <v>260905022</v>
      </c>
      <c r="E158" s="22" t="s">
        <v>409</v>
      </c>
      <c r="F158" s="9" t="s">
        <v>410</v>
      </c>
      <c r="G158" s="9">
        <v>45</v>
      </c>
      <c r="H158" s="37">
        <v>130</v>
      </c>
      <c r="I158" s="26" t="s">
        <v>344</v>
      </c>
      <c r="J158" s="36" t="s">
        <v>23</v>
      </c>
      <c r="K158" s="26" t="s">
        <v>30</v>
      </c>
      <c r="L158" s="48" t="s">
        <v>345</v>
      </c>
      <c r="M158" s="9" t="s">
        <v>31</v>
      </c>
      <c r="N158" s="9">
        <v>60.7</v>
      </c>
      <c r="O158" s="9">
        <v>15.54</v>
      </c>
      <c r="P158" s="10">
        <f t="shared" si="22"/>
        <v>45.160000000000004</v>
      </c>
      <c r="Q158" s="11">
        <v>520</v>
      </c>
      <c r="R158" s="12">
        <f t="shared" si="18"/>
        <v>23483.200000000001</v>
      </c>
      <c r="S158" s="11"/>
      <c r="T158" s="13"/>
      <c r="V158" s="19" t="s">
        <v>24</v>
      </c>
      <c r="W158" s="11">
        <v>150</v>
      </c>
      <c r="X158" s="14">
        <f t="shared" si="19"/>
        <v>6774.0000000000009</v>
      </c>
      <c r="Y158" s="15"/>
      <c r="Z158" s="15">
        <f t="shared" si="20"/>
        <v>0</v>
      </c>
      <c r="AA158" s="13">
        <f t="shared" si="21"/>
        <v>30257.200000000001</v>
      </c>
    </row>
    <row r="159" spans="1:28" s="16" customFormat="1" x14ac:dyDescent="0.3">
      <c r="A159" s="18">
        <v>158</v>
      </c>
      <c r="B159" s="8">
        <v>46270</v>
      </c>
      <c r="C159" s="8">
        <v>46270</v>
      </c>
      <c r="D159" s="20" t="s">
        <v>411</v>
      </c>
      <c r="E159" s="22"/>
      <c r="F159" s="9"/>
      <c r="G159" s="21"/>
      <c r="H159" s="32"/>
      <c r="I159" s="26" t="s">
        <v>333</v>
      </c>
      <c r="J159" s="36" t="s">
        <v>23</v>
      </c>
      <c r="K159" s="26" t="s">
        <v>30</v>
      </c>
      <c r="L159" s="48" t="s">
        <v>235</v>
      </c>
      <c r="M159" s="9" t="s">
        <v>233</v>
      </c>
      <c r="N159" s="9">
        <v>27.16</v>
      </c>
      <c r="O159" s="9">
        <v>13.86</v>
      </c>
      <c r="P159" s="10">
        <f t="shared" si="22"/>
        <v>13.3</v>
      </c>
      <c r="Q159" s="11">
        <v>0</v>
      </c>
      <c r="R159" s="12">
        <f t="shared" si="18"/>
        <v>0</v>
      </c>
      <c r="S159" s="11"/>
      <c r="T159" s="13"/>
      <c r="V159" s="19" t="s">
        <v>24</v>
      </c>
      <c r="W159" s="11"/>
      <c r="X159" s="14">
        <f t="shared" si="19"/>
        <v>0</v>
      </c>
      <c r="Y159" s="15"/>
      <c r="Z159" s="15">
        <f t="shared" si="20"/>
        <v>0</v>
      </c>
      <c r="AA159" s="13">
        <f t="shared" si="21"/>
        <v>0</v>
      </c>
    </row>
    <row r="160" spans="1:28" s="16" customFormat="1" x14ac:dyDescent="0.3">
      <c r="A160" s="18">
        <v>159</v>
      </c>
      <c r="B160" s="8">
        <v>46270</v>
      </c>
      <c r="C160" s="8">
        <v>46270</v>
      </c>
      <c r="D160" s="20" t="s">
        <v>412</v>
      </c>
      <c r="E160" s="22"/>
      <c r="F160" s="9"/>
      <c r="G160" s="9"/>
      <c r="H160" s="32"/>
      <c r="I160" s="26" t="s">
        <v>333</v>
      </c>
      <c r="J160" s="36" t="s">
        <v>23</v>
      </c>
      <c r="K160" s="26" t="s">
        <v>30</v>
      </c>
      <c r="L160" s="48" t="s">
        <v>43</v>
      </c>
      <c r="M160" s="9" t="s">
        <v>233</v>
      </c>
      <c r="N160" s="9">
        <v>26.4</v>
      </c>
      <c r="O160" s="9">
        <v>14.96</v>
      </c>
      <c r="P160" s="10">
        <f t="shared" si="22"/>
        <v>11.439999999999998</v>
      </c>
      <c r="Q160" s="11">
        <v>0</v>
      </c>
      <c r="R160" s="12">
        <f t="shared" si="18"/>
        <v>0</v>
      </c>
      <c r="S160" s="11"/>
      <c r="T160" s="13"/>
      <c r="V160" s="19" t="s">
        <v>24</v>
      </c>
      <c r="W160" s="11"/>
      <c r="X160" s="14">
        <f t="shared" si="19"/>
        <v>0</v>
      </c>
      <c r="Y160" s="15"/>
      <c r="Z160" s="15">
        <f t="shared" si="20"/>
        <v>0</v>
      </c>
      <c r="AA160" s="13">
        <f t="shared" si="21"/>
        <v>0</v>
      </c>
    </row>
    <row r="161" spans="1:28" s="16" customFormat="1" x14ac:dyDescent="0.3">
      <c r="A161" s="18">
        <v>160</v>
      </c>
      <c r="B161" s="8">
        <v>46270</v>
      </c>
      <c r="C161" s="8">
        <v>46270</v>
      </c>
      <c r="D161" s="20">
        <v>260905023</v>
      </c>
      <c r="E161" s="22" t="s">
        <v>413</v>
      </c>
      <c r="F161" s="9" t="s">
        <v>414</v>
      </c>
      <c r="G161" s="9">
        <v>22</v>
      </c>
      <c r="H161" s="43">
        <v>18</v>
      </c>
      <c r="I161" s="26" t="s">
        <v>140</v>
      </c>
      <c r="J161" s="27" t="s">
        <v>23</v>
      </c>
      <c r="K161" s="26" t="s">
        <v>30</v>
      </c>
      <c r="L161" s="48" t="s">
        <v>144</v>
      </c>
      <c r="M161" s="9" t="s">
        <v>108</v>
      </c>
      <c r="N161" s="9">
        <v>37.14</v>
      </c>
      <c r="O161" s="9">
        <v>14.24</v>
      </c>
      <c r="P161" s="10">
        <f t="shared" si="22"/>
        <v>22.9</v>
      </c>
      <c r="Q161" s="11">
        <v>420</v>
      </c>
      <c r="R161" s="12">
        <f t="shared" si="18"/>
        <v>9618</v>
      </c>
      <c r="S161" s="11"/>
      <c r="T161" s="13"/>
      <c r="V161" s="19" t="s">
        <v>24</v>
      </c>
      <c r="W161" s="11">
        <v>145</v>
      </c>
      <c r="X161" s="14">
        <f t="shared" si="19"/>
        <v>3320.5</v>
      </c>
      <c r="Y161" s="15"/>
      <c r="Z161" s="15">
        <f t="shared" si="20"/>
        <v>0</v>
      </c>
      <c r="AA161" s="13">
        <f t="shared" si="21"/>
        <v>12938.5</v>
      </c>
    </row>
    <row r="162" spans="1:28" s="16" customFormat="1" x14ac:dyDescent="0.3">
      <c r="A162" s="18">
        <v>161</v>
      </c>
      <c r="B162" s="8">
        <v>46270</v>
      </c>
      <c r="C162" s="8">
        <v>46270</v>
      </c>
      <c r="D162" s="20">
        <v>260905024</v>
      </c>
      <c r="E162" s="22" t="s">
        <v>415</v>
      </c>
      <c r="F162" s="9" t="s">
        <v>416</v>
      </c>
      <c r="G162" s="9">
        <v>22</v>
      </c>
      <c r="H162" s="43">
        <v>18</v>
      </c>
      <c r="I162" s="26" t="s">
        <v>140</v>
      </c>
      <c r="J162" s="27" t="s">
        <v>23</v>
      </c>
      <c r="K162" s="26" t="s">
        <v>30</v>
      </c>
      <c r="L162" s="48" t="s">
        <v>141</v>
      </c>
      <c r="M162" s="9" t="s">
        <v>108</v>
      </c>
      <c r="N162" s="9">
        <v>36.520000000000003</v>
      </c>
      <c r="O162" s="9">
        <v>14.34</v>
      </c>
      <c r="P162" s="10">
        <f t="shared" si="22"/>
        <v>22.180000000000003</v>
      </c>
      <c r="Q162" s="11">
        <v>420</v>
      </c>
      <c r="R162" s="12">
        <f t="shared" si="18"/>
        <v>9315.6000000000022</v>
      </c>
      <c r="S162" s="11"/>
      <c r="T162" s="13"/>
      <c r="V162" s="19" t="s">
        <v>24</v>
      </c>
      <c r="W162" s="11">
        <v>145</v>
      </c>
      <c r="X162" s="14">
        <f t="shared" si="19"/>
        <v>3216.1000000000004</v>
      </c>
      <c r="Y162" s="15"/>
      <c r="Z162" s="15">
        <f t="shared" si="20"/>
        <v>0</v>
      </c>
      <c r="AA162" s="13">
        <f t="shared" si="21"/>
        <v>12531.700000000003</v>
      </c>
    </row>
    <row r="163" spans="1:28" s="16" customFormat="1" x14ac:dyDescent="0.3">
      <c r="A163" s="18">
        <v>162</v>
      </c>
      <c r="B163" s="8">
        <v>46270</v>
      </c>
      <c r="C163" s="8">
        <v>46270</v>
      </c>
      <c r="D163" s="20" t="s">
        <v>417</v>
      </c>
      <c r="E163" s="22"/>
      <c r="F163" s="9"/>
      <c r="G163" s="9"/>
      <c r="H163" s="32"/>
      <c r="I163" s="26" t="s">
        <v>333</v>
      </c>
      <c r="J163" s="36" t="s">
        <v>23</v>
      </c>
      <c r="K163" s="26" t="s">
        <v>30</v>
      </c>
      <c r="L163" s="48" t="s">
        <v>33</v>
      </c>
      <c r="M163" s="9" t="s">
        <v>233</v>
      </c>
      <c r="N163" s="9">
        <v>25.28</v>
      </c>
      <c r="O163" s="9">
        <v>13.94</v>
      </c>
      <c r="P163" s="10">
        <f t="shared" si="22"/>
        <v>11.340000000000002</v>
      </c>
      <c r="Q163" s="11">
        <v>0</v>
      </c>
      <c r="R163" s="12">
        <f t="shared" si="18"/>
        <v>0</v>
      </c>
      <c r="S163" s="11"/>
      <c r="T163" s="13"/>
      <c r="V163" s="19" t="s">
        <v>24</v>
      </c>
      <c r="W163" s="11"/>
      <c r="X163" s="14">
        <f t="shared" si="19"/>
        <v>0</v>
      </c>
      <c r="Y163" s="15"/>
      <c r="Z163" s="15">
        <f t="shared" si="20"/>
        <v>0</v>
      </c>
      <c r="AA163" s="13">
        <f t="shared" si="21"/>
        <v>0</v>
      </c>
    </row>
    <row r="164" spans="1:28" s="16" customFormat="1" x14ac:dyDescent="0.3">
      <c r="A164" s="18">
        <v>163</v>
      </c>
      <c r="B164" s="8">
        <v>46270</v>
      </c>
      <c r="C164" s="8">
        <v>46271</v>
      </c>
      <c r="D164" s="44">
        <v>260906001</v>
      </c>
      <c r="E164" s="22" t="s">
        <v>418</v>
      </c>
      <c r="F164" s="9" t="s">
        <v>419</v>
      </c>
      <c r="G164" s="9">
        <v>44</v>
      </c>
      <c r="H164" s="37">
        <v>130</v>
      </c>
      <c r="I164" s="26" t="s">
        <v>344</v>
      </c>
      <c r="J164" s="36" t="s">
        <v>23</v>
      </c>
      <c r="K164" s="26" t="s">
        <v>30</v>
      </c>
      <c r="L164" s="48" t="s">
        <v>345</v>
      </c>
      <c r="M164" s="9" t="s">
        <v>31</v>
      </c>
      <c r="N164" s="9">
        <v>60.46</v>
      </c>
      <c r="O164" s="9">
        <v>15.52</v>
      </c>
      <c r="P164" s="10">
        <f t="shared" si="22"/>
        <v>44.94</v>
      </c>
      <c r="Q164" s="11">
        <v>520</v>
      </c>
      <c r="R164" s="12">
        <f t="shared" si="18"/>
        <v>23368.799999999999</v>
      </c>
      <c r="S164" s="11"/>
      <c r="T164" s="13"/>
      <c r="V164" s="19" t="s">
        <v>24</v>
      </c>
      <c r="W164" s="11">
        <v>150</v>
      </c>
      <c r="X164" s="14">
        <f t="shared" si="19"/>
        <v>6741</v>
      </c>
      <c r="Y164" s="15"/>
      <c r="Z164" s="15">
        <f t="shared" si="20"/>
        <v>0</v>
      </c>
      <c r="AA164" s="13">
        <f t="shared" si="21"/>
        <v>30109.8</v>
      </c>
    </row>
    <row r="165" spans="1:28" s="16" customFormat="1" x14ac:dyDescent="0.3">
      <c r="A165" s="18">
        <v>164</v>
      </c>
      <c r="B165" s="8">
        <v>46270</v>
      </c>
      <c r="C165" s="8">
        <v>46271</v>
      </c>
      <c r="D165" s="44">
        <v>260906002</v>
      </c>
      <c r="E165" s="22" t="s">
        <v>420</v>
      </c>
      <c r="F165" s="9" t="s">
        <v>421</v>
      </c>
      <c r="G165" s="9">
        <v>43</v>
      </c>
      <c r="H165" s="37">
        <v>131</v>
      </c>
      <c r="I165" s="26" t="s">
        <v>374</v>
      </c>
      <c r="J165" s="36" t="s">
        <v>23</v>
      </c>
      <c r="K165" s="26" t="s">
        <v>30</v>
      </c>
      <c r="L165" s="11" t="s">
        <v>74</v>
      </c>
      <c r="M165" s="16" t="s">
        <v>108</v>
      </c>
      <c r="N165" s="9">
        <v>58.92</v>
      </c>
      <c r="O165" s="9">
        <v>15.58</v>
      </c>
      <c r="P165" s="10">
        <f t="shared" si="22"/>
        <v>43.34</v>
      </c>
      <c r="Q165" s="11">
        <v>285</v>
      </c>
      <c r="R165" s="12">
        <f t="shared" si="18"/>
        <v>12351.900000000001</v>
      </c>
      <c r="S165" s="11"/>
      <c r="T165" s="13"/>
      <c r="V165" s="19" t="s">
        <v>24</v>
      </c>
      <c r="W165" s="11">
        <v>145</v>
      </c>
      <c r="X165" s="14">
        <f t="shared" si="19"/>
        <v>6284.3</v>
      </c>
      <c r="Y165" s="15">
        <v>200</v>
      </c>
      <c r="Z165" s="15">
        <f t="shared" si="20"/>
        <v>8668</v>
      </c>
      <c r="AA165" s="13">
        <f t="shared" si="21"/>
        <v>27304.2</v>
      </c>
    </row>
    <row r="166" spans="1:28" s="16" customFormat="1" x14ac:dyDescent="0.3">
      <c r="A166" s="18">
        <v>165</v>
      </c>
      <c r="B166" s="8">
        <v>46270</v>
      </c>
      <c r="C166" s="8">
        <v>46271</v>
      </c>
      <c r="D166" s="44">
        <v>260906003</v>
      </c>
      <c r="E166" s="22" t="s">
        <v>422</v>
      </c>
      <c r="F166" s="9" t="s">
        <v>423</v>
      </c>
      <c r="G166" s="9">
        <v>47</v>
      </c>
      <c r="H166" s="37">
        <v>131</v>
      </c>
      <c r="I166" s="26" t="s">
        <v>374</v>
      </c>
      <c r="J166" s="36" t="s">
        <v>23</v>
      </c>
      <c r="K166" s="26" t="s">
        <v>30</v>
      </c>
      <c r="L166" s="48" t="s">
        <v>170</v>
      </c>
      <c r="M166" s="9" t="s">
        <v>31</v>
      </c>
      <c r="N166" s="9">
        <v>62.42</v>
      </c>
      <c r="O166" s="9">
        <v>14.92</v>
      </c>
      <c r="P166" s="10">
        <f t="shared" si="22"/>
        <v>47.5</v>
      </c>
      <c r="Q166" s="11">
        <v>535</v>
      </c>
      <c r="R166" s="12">
        <f t="shared" si="18"/>
        <v>25412.5</v>
      </c>
      <c r="S166" s="11"/>
      <c r="T166" s="13"/>
      <c r="V166" s="19" t="s">
        <v>24</v>
      </c>
      <c r="W166" s="11">
        <v>145</v>
      </c>
      <c r="X166" s="14">
        <f t="shared" si="19"/>
        <v>6887.5</v>
      </c>
      <c r="Y166" s="15">
        <v>200</v>
      </c>
      <c r="Z166" s="15">
        <f t="shared" si="20"/>
        <v>9500</v>
      </c>
      <c r="AA166" s="13">
        <f t="shared" si="21"/>
        <v>41800</v>
      </c>
    </row>
    <row r="167" spans="1:28" s="16" customFormat="1" x14ac:dyDescent="0.3">
      <c r="A167" s="18">
        <v>166</v>
      </c>
      <c r="B167" s="8">
        <v>46270</v>
      </c>
      <c r="C167" s="8">
        <v>46271</v>
      </c>
      <c r="D167" s="44">
        <v>260906004</v>
      </c>
      <c r="E167" s="22" t="s">
        <v>424</v>
      </c>
      <c r="F167" s="9" t="s">
        <v>425</v>
      </c>
      <c r="G167" s="9">
        <v>49</v>
      </c>
      <c r="H167" s="37">
        <v>131</v>
      </c>
      <c r="I167" s="26" t="s">
        <v>374</v>
      </c>
      <c r="J167" s="36" t="s">
        <v>23</v>
      </c>
      <c r="K167" s="26" t="s">
        <v>30</v>
      </c>
      <c r="L167" s="48" t="s">
        <v>193</v>
      </c>
      <c r="M167" s="9" t="s">
        <v>31</v>
      </c>
      <c r="N167" s="9">
        <v>66.040000000000006</v>
      </c>
      <c r="O167" s="9">
        <v>16.68</v>
      </c>
      <c r="P167" s="10">
        <f t="shared" si="22"/>
        <v>49.360000000000007</v>
      </c>
      <c r="Q167" s="11">
        <v>535</v>
      </c>
      <c r="R167" s="12">
        <f t="shared" si="18"/>
        <v>26407.600000000002</v>
      </c>
      <c r="S167" s="11"/>
      <c r="T167" s="13"/>
      <c r="V167" s="19" t="s">
        <v>24</v>
      </c>
      <c r="W167" s="11">
        <v>145</v>
      </c>
      <c r="X167" s="14">
        <f t="shared" si="19"/>
        <v>7157.2000000000007</v>
      </c>
      <c r="Y167" s="15">
        <v>200</v>
      </c>
      <c r="Z167" s="15">
        <f t="shared" si="20"/>
        <v>9872.0000000000018</v>
      </c>
      <c r="AA167" s="13">
        <f t="shared" si="21"/>
        <v>43436.800000000003</v>
      </c>
    </row>
    <row r="168" spans="1:28" s="16" customFormat="1" x14ac:dyDescent="0.3">
      <c r="A168" s="18">
        <v>167</v>
      </c>
      <c r="B168" s="8">
        <v>46270</v>
      </c>
      <c r="C168" s="8">
        <v>46271</v>
      </c>
      <c r="D168" s="44">
        <v>260906005</v>
      </c>
      <c r="E168" s="22" t="s">
        <v>426</v>
      </c>
      <c r="F168" s="9" t="s">
        <v>427</v>
      </c>
      <c r="G168" s="9">
        <v>34</v>
      </c>
      <c r="H168" s="37">
        <v>131</v>
      </c>
      <c r="I168" s="26" t="s">
        <v>374</v>
      </c>
      <c r="J168" s="36" t="s">
        <v>23</v>
      </c>
      <c r="K168" s="26" t="s">
        <v>30</v>
      </c>
      <c r="L168" s="48" t="s">
        <v>104</v>
      </c>
      <c r="M168" s="9" t="s">
        <v>31</v>
      </c>
      <c r="N168" s="9">
        <v>45.78</v>
      </c>
      <c r="O168" s="9">
        <v>11.78</v>
      </c>
      <c r="P168" s="10">
        <f t="shared" si="22"/>
        <v>34</v>
      </c>
      <c r="Q168" s="11">
        <v>535</v>
      </c>
      <c r="R168" s="12">
        <f t="shared" si="18"/>
        <v>18190</v>
      </c>
      <c r="S168" s="11"/>
      <c r="T168" s="13"/>
      <c r="V168" s="19" t="s">
        <v>24</v>
      </c>
      <c r="W168" s="11">
        <v>145</v>
      </c>
      <c r="X168" s="14">
        <f t="shared" si="19"/>
        <v>4930</v>
      </c>
      <c r="Y168" s="15">
        <v>200</v>
      </c>
      <c r="Z168" s="15">
        <f t="shared" si="20"/>
        <v>6800</v>
      </c>
      <c r="AA168" s="13">
        <f t="shared" si="21"/>
        <v>29920</v>
      </c>
    </row>
    <row r="169" spans="1:28" s="16" customFormat="1" x14ac:dyDescent="0.3">
      <c r="A169" s="18">
        <v>168</v>
      </c>
      <c r="B169" s="8">
        <v>46270</v>
      </c>
      <c r="C169" s="8">
        <v>46271</v>
      </c>
      <c r="D169" s="44">
        <v>260906006</v>
      </c>
      <c r="E169" s="22" t="s">
        <v>428</v>
      </c>
      <c r="F169" s="9" t="s">
        <v>429</v>
      </c>
      <c r="G169" s="9">
        <v>32</v>
      </c>
      <c r="H169" s="37">
        <v>131</v>
      </c>
      <c r="I169" s="26" t="s">
        <v>280</v>
      </c>
      <c r="J169" s="36" t="s">
        <v>23</v>
      </c>
      <c r="K169" s="26" t="s">
        <v>30</v>
      </c>
      <c r="L169" s="48" t="s">
        <v>111</v>
      </c>
      <c r="M169" s="9" t="s">
        <v>108</v>
      </c>
      <c r="N169" s="9">
        <v>44.3</v>
      </c>
      <c r="O169" s="9">
        <v>11.68</v>
      </c>
      <c r="P169" s="10">
        <f t="shared" si="22"/>
        <v>32.619999999999997</v>
      </c>
      <c r="Q169" s="11">
        <v>285</v>
      </c>
      <c r="R169" s="12">
        <f t="shared" si="18"/>
        <v>9296.6999999999989</v>
      </c>
      <c r="S169" s="11"/>
      <c r="T169" s="13"/>
      <c r="V169" s="19" t="s">
        <v>24</v>
      </c>
      <c r="W169" s="11">
        <v>145</v>
      </c>
      <c r="X169" s="14">
        <f t="shared" si="19"/>
        <v>4729.8999999999996</v>
      </c>
      <c r="Y169" s="15">
        <v>200</v>
      </c>
      <c r="Z169" s="15">
        <f t="shared" si="20"/>
        <v>6523.9999999999991</v>
      </c>
      <c r="AA169" s="13">
        <f t="shared" si="21"/>
        <v>20550.599999999999</v>
      </c>
    </row>
    <row r="170" spans="1:28" s="16" customFormat="1" x14ac:dyDescent="0.3">
      <c r="A170" s="18">
        <v>169</v>
      </c>
      <c r="B170" s="8">
        <v>46270</v>
      </c>
      <c r="C170" s="8">
        <v>46271</v>
      </c>
      <c r="D170" s="44">
        <v>260906007</v>
      </c>
      <c r="E170" s="22" t="s">
        <v>430</v>
      </c>
      <c r="F170" s="9" t="s">
        <v>431</v>
      </c>
      <c r="G170" s="9">
        <v>46</v>
      </c>
      <c r="H170" s="37">
        <v>131</v>
      </c>
      <c r="I170" s="26" t="s">
        <v>374</v>
      </c>
      <c r="J170" s="36" t="s">
        <v>23</v>
      </c>
      <c r="K170" s="26" t="s">
        <v>30</v>
      </c>
      <c r="L170" s="17" t="s">
        <v>319</v>
      </c>
      <c r="M170" s="9" t="s">
        <v>31</v>
      </c>
      <c r="N170" s="9">
        <v>62.82</v>
      </c>
      <c r="O170" s="9">
        <v>15.84</v>
      </c>
      <c r="P170" s="10">
        <f t="shared" si="22"/>
        <v>46.980000000000004</v>
      </c>
      <c r="Q170" s="11">
        <v>535</v>
      </c>
      <c r="R170" s="12">
        <f t="shared" si="18"/>
        <v>25134.300000000003</v>
      </c>
      <c r="S170" s="11"/>
      <c r="T170" s="13"/>
      <c r="V170" s="19" t="s">
        <v>24</v>
      </c>
      <c r="W170" s="11">
        <v>145</v>
      </c>
      <c r="X170" s="14">
        <f t="shared" si="19"/>
        <v>6812.1</v>
      </c>
      <c r="Y170" s="15">
        <v>200</v>
      </c>
      <c r="Z170" s="15">
        <f t="shared" si="20"/>
        <v>9396</v>
      </c>
      <c r="AA170" s="13">
        <f t="shared" si="21"/>
        <v>41342.400000000001</v>
      </c>
    </row>
    <row r="171" spans="1:28" s="16" customFormat="1" x14ac:dyDescent="0.3">
      <c r="A171" s="18">
        <v>170</v>
      </c>
      <c r="B171" s="8">
        <v>46270</v>
      </c>
      <c r="C171" s="8">
        <v>46271</v>
      </c>
      <c r="D171" s="44">
        <v>260906008</v>
      </c>
      <c r="E171" s="22" t="s">
        <v>432</v>
      </c>
      <c r="F171" s="9" t="s">
        <v>433</v>
      </c>
      <c r="G171" s="9">
        <v>45</v>
      </c>
      <c r="H171" s="37">
        <v>131</v>
      </c>
      <c r="I171" s="26" t="s">
        <v>374</v>
      </c>
      <c r="J171" s="36" t="s">
        <v>23</v>
      </c>
      <c r="K171" s="26" t="s">
        <v>30</v>
      </c>
      <c r="L171" s="17" t="s">
        <v>184</v>
      </c>
      <c r="M171" s="9" t="s">
        <v>31</v>
      </c>
      <c r="N171" s="9">
        <v>62</v>
      </c>
      <c r="O171" s="9">
        <v>16.399999999999999</v>
      </c>
      <c r="P171" s="10">
        <f t="shared" si="22"/>
        <v>45.6</v>
      </c>
      <c r="Q171" s="11">
        <v>535</v>
      </c>
      <c r="R171" s="12">
        <f t="shared" si="18"/>
        <v>24396</v>
      </c>
      <c r="S171" s="11"/>
      <c r="T171" s="13"/>
      <c r="V171" s="19" t="s">
        <v>24</v>
      </c>
      <c r="W171" s="11">
        <v>145</v>
      </c>
      <c r="X171" s="14">
        <f t="shared" si="19"/>
        <v>6612</v>
      </c>
      <c r="Y171" s="15">
        <v>200</v>
      </c>
      <c r="Z171" s="15">
        <f t="shared" si="20"/>
        <v>9120</v>
      </c>
      <c r="AA171" s="13">
        <f t="shared" si="21"/>
        <v>40128</v>
      </c>
    </row>
    <row r="172" spans="1:28" s="16" customFormat="1" x14ac:dyDescent="0.3">
      <c r="A172" s="18">
        <v>171</v>
      </c>
      <c r="B172" s="8">
        <v>46270</v>
      </c>
      <c r="C172" s="8">
        <v>46271</v>
      </c>
      <c r="D172" s="44">
        <v>260906009</v>
      </c>
      <c r="E172" s="22" t="s">
        <v>434</v>
      </c>
      <c r="F172" s="9" t="s">
        <v>435</v>
      </c>
      <c r="G172" s="9">
        <v>32</v>
      </c>
      <c r="H172" s="37">
        <v>131</v>
      </c>
      <c r="I172" s="26" t="s">
        <v>280</v>
      </c>
      <c r="J172" s="36" t="s">
        <v>23</v>
      </c>
      <c r="K172" s="26" t="s">
        <v>30</v>
      </c>
      <c r="L172" s="17" t="s">
        <v>162</v>
      </c>
      <c r="M172" s="9" t="s">
        <v>108</v>
      </c>
      <c r="N172" s="9">
        <v>44.62</v>
      </c>
      <c r="O172" s="9">
        <v>11.64</v>
      </c>
      <c r="P172" s="10">
        <f t="shared" si="22"/>
        <v>32.979999999999997</v>
      </c>
      <c r="Q172" s="11">
        <v>285</v>
      </c>
      <c r="R172" s="12">
        <f t="shared" si="18"/>
        <v>9399.2999999999993</v>
      </c>
      <c r="S172" s="11"/>
      <c r="T172" s="13"/>
      <c r="V172" s="19" t="s">
        <v>24</v>
      </c>
      <c r="W172" s="11">
        <v>145</v>
      </c>
      <c r="X172" s="14">
        <f t="shared" si="19"/>
        <v>4782.0999999999995</v>
      </c>
      <c r="Y172" s="15">
        <v>200</v>
      </c>
      <c r="Z172" s="15">
        <f t="shared" si="20"/>
        <v>6595.9999999999991</v>
      </c>
      <c r="AA172" s="13">
        <f t="shared" si="21"/>
        <v>20777.399999999998</v>
      </c>
    </row>
    <row r="173" spans="1:28" s="16" customFormat="1" x14ac:dyDescent="0.3">
      <c r="A173" s="18">
        <v>172</v>
      </c>
      <c r="B173" s="8">
        <v>46270</v>
      </c>
      <c r="C173" s="8">
        <v>46271</v>
      </c>
      <c r="D173" s="44">
        <v>260906010</v>
      </c>
      <c r="E173" s="22" t="s">
        <v>436</v>
      </c>
      <c r="F173" s="9" t="s">
        <v>437</v>
      </c>
      <c r="G173" s="9"/>
      <c r="H173" s="37">
        <v>136</v>
      </c>
      <c r="I173" s="39" t="s">
        <v>69</v>
      </c>
      <c r="J173" s="36" t="s">
        <v>23</v>
      </c>
      <c r="K173" s="26" t="s">
        <v>30</v>
      </c>
      <c r="L173" s="45" t="s">
        <v>82</v>
      </c>
      <c r="M173" s="9" t="s">
        <v>71</v>
      </c>
      <c r="N173" s="9">
        <v>60.96</v>
      </c>
      <c r="O173" s="9">
        <v>15.4</v>
      </c>
      <c r="P173" s="10">
        <f t="shared" si="22"/>
        <v>45.56</v>
      </c>
      <c r="Q173" s="11">
        <v>260</v>
      </c>
      <c r="R173" s="12">
        <f t="shared" si="18"/>
        <v>11845.6</v>
      </c>
      <c r="S173" s="11"/>
      <c r="T173" s="13"/>
      <c r="V173" s="19" t="s">
        <v>24</v>
      </c>
      <c r="W173" s="11"/>
      <c r="X173" s="14">
        <f t="shared" si="19"/>
        <v>0</v>
      </c>
      <c r="Y173" s="15">
        <v>115</v>
      </c>
      <c r="Z173" s="15">
        <f t="shared" si="20"/>
        <v>5239.4000000000005</v>
      </c>
      <c r="AA173" s="13">
        <f t="shared" si="21"/>
        <v>17085</v>
      </c>
    </row>
    <row r="174" spans="1:28" s="16" customFormat="1" x14ac:dyDescent="0.3">
      <c r="A174" s="18">
        <v>173</v>
      </c>
      <c r="B174" s="8">
        <v>46270</v>
      </c>
      <c r="C174" s="8">
        <v>46271</v>
      </c>
      <c r="D174" s="44">
        <v>260906011</v>
      </c>
      <c r="E174" s="22" t="s">
        <v>438</v>
      </c>
      <c r="F174" s="9" t="s">
        <v>439</v>
      </c>
      <c r="G174" s="9"/>
      <c r="H174" s="37">
        <v>136</v>
      </c>
      <c r="I174" s="39" t="s">
        <v>69</v>
      </c>
      <c r="J174" s="36" t="s">
        <v>23</v>
      </c>
      <c r="K174" s="26" t="s">
        <v>30</v>
      </c>
      <c r="L174" s="45" t="s">
        <v>85</v>
      </c>
      <c r="M174" s="9" t="s">
        <v>71</v>
      </c>
      <c r="N174" s="9">
        <v>60.44</v>
      </c>
      <c r="O174" s="9">
        <v>14.08</v>
      </c>
      <c r="P174" s="10">
        <f t="shared" si="22"/>
        <v>46.36</v>
      </c>
      <c r="Q174" s="11">
        <v>260</v>
      </c>
      <c r="R174" s="12">
        <f t="shared" si="18"/>
        <v>12053.6</v>
      </c>
      <c r="S174" s="11"/>
      <c r="T174" s="13"/>
      <c r="V174" s="19" t="s">
        <v>24</v>
      </c>
      <c r="W174" s="11"/>
      <c r="X174" s="14">
        <f t="shared" si="19"/>
        <v>0</v>
      </c>
      <c r="Y174" s="15">
        <v>115</v>
      </c>
      <c r="Z174" s="15">
        <f t="shared" si="20"/>
        <v>5331.4</v>
      </c>
      <c r="AA174" s="13">
        <f t="shared" si="21"/>
        <v>17385</v>
      </c>
    </row>
    <row r="175" spans="1:28" s="16" customFormat="1" x14ac:dyDescent="0.3">
      <c r="A175" s="18">
        <v>174</v>
      </c>
      <c r="B175" s="8">
        <v>46270</v>
      </c>
      <c r="C175" s="8">
        <v>46271</v>
      </c>
      <c r="D175" s="44">
        <v>260906012</v>
      </c>
      <c r="E175" s="22" t="s">
        <v>440</v>
      </c>
      <c r="F175" s="9" t="s">
        <v>441</v>
      </c>
      <c r="G175" s="9"/>
      <c r="H175" s="37">
        <v>136</v>
      </c>
      <c r="I175" s="39" t="s">
        <v>69</v>
      </c>
      <c r="J175" s="36" t="s">
        <v>23</v>
      </c>
      <c r="K175" s="26" t="s">
        <v>30</v>
      </c>
      <c r="L175" s="45" t="s">
        <v>56</v>
      </c>
      <c r="M175" s="9" t="s">
        <v>71</v>
      </c>
      <c r="N175" s="9">
        <v>60.14</v>
      </c>
      <c r="O175" s="9">
        <v>14.18</v>
      </c>
      <c r="P175" s="10">
        <f t="shared" si="22"/>
        <v>45.96</v>
      </c>
      <c r="Q175" s="11">
        <v>260</v>
      </c>
      <c r="R175" s="12">
        <f t="shared" si="18"/>
        <v>11949.6</v>
      </c>
      <c r="S175" s="11"/>
      <c r="T175" s="13"/>
      <c r="V175" s="19" t="s">
        <v>24</v>
      </c>
      <c r="W175" s="11"/>
      <c r="X175" s="14">
        <f t="shared" si="19"/>
        <v>0</v>
      </c>
      <c r="Y175" s="15">
        <v>115</v>
      </c>
      <c r="Z175" s="15">
        <f t="shared" si="20"/>
        <v>5285.4000000000005</v>
      </c>
      <c r="AA175" s="13">
        <f t="shared" si="21"/>
        <v>17235</v>
      </c>
    </row>
    <row r="176" spans="1:28" s="16" customFormat="1" x14ac:dyDescent="0.3">
      <c r="A176" s="18">
        <v>175</v>
      </c>
      <c r="B176" s="8">
        <v>46271</v>
      </c>
      <c r="C176" s="8">
        <v>46271</v>
      </c>
      <c r="D176" s="20">
        <v>260906013</v>
      </c>
      <c r="E176" s="22" t="s">
        <v>442</v>
      </c>
      <c r="F176" s="9" t="s">
        <v>443</v>
      </c>
      <c r="G176" s="9"/>
      <c r="H176" s="37">
        <v>136</v>
      </c>
      <c r="I176" s="39" t="s">
        <v>69</v>
      </c>
      <c r="J176" s="36" t="s">
        <v>23</v>
      </c>
      <c r="K176" s="26" t="s">
        <v>30</v>
      </c>
      <c r="L176" s="48" t="s">
        <v>329</v>
      </c>
      <c r="M176" s="9" t="s">
        <v>71</v>
      </c>
      <c r="N176" s="9">
        <v>59.14</v>
      </c>
      <c r="O176" s="9">
        <v>16.46</v>
      </c>
      <c r="P176" s="10">
        <f>N176-O176</f>
        <v>42.68</v>
      </c>
      <c r="Q176" s="11">
        <v>260</v>
      </c>
      <c r="R176" s="12">
        <f t="shared" si="18"/>
        <v>11096.8</v>
      </c>
      <c r="S176" s="11"/>
      <c r="T176" s="13"/>
      <c r="V176" s="19" t="s">
        <v>24</v>
      </c>
      <c r="W176" s="11"/>
      <c r="X176" s="14">
        <f t="shared" si="19"/>
        <v>0</v>
      </c>
      <c r="Y176" s="15">
        <v>115</v>
      </c>
      <c r="Z176" s="15">
        <f t="shared" si="20"/>
        <v>4908.2</v>
      </c>
      <c r="AA176" s="13">
        <f t="shared" si="21"/>
        <v>16005</v>
      </c>
      <c r="AB176" s="29"/>
    </row>
    <row r="177" spans="1:27" s="16" customFormat="1" x14ac:dyDescent="0.3">
      <c r="A177" s="18">
        <v>176</v>
      </c>
      <c r="B177" s="8">
        <v>46271</v>
      </c>
      <c r="C177" s="8">
        <v>46271</v>
      </c>
      <c r="D177" s="20">
        <v>260906014</v>
      </c>
      <c r="E177" s="22" t="s">
        <v>444</v>
      </c>
      <c r="F177" s="9" t="s">
        <v>445</v>
      </c>
      <c r="G177" s="9"/>
      <c r="H177" s="37">
        <v>136</v>
      </c>
      <c r="I177" s="39" t="s">
        <v>69</v>
      </c>
      <c r="J177" s="36" t="s">
        <v>23</v>
      </c>
      <c r="K177" s="26" t="s">
        <v>30</v>
      </c>
      <c r="L177" s="9" t="s">
        <v>228</v>
      </c>
      <c r="M177" s="9" t="s">
        <v>71</v>
      </c>
      <c r="N177" s="9">
        <v>49.04</v>
      </c>
      <c r="O177" s="9">
        <v>12.34</v>
      </c>
      <c r="P177" s="10">
        <f>N177-O177</f>
        <v>36.700000000000003</v>
      </c>
      <c r="Q177" s="11">
        <v>260</v>
      </c>
      <c r="R177" s="12">
        <f t="shared" si="18"/>
        <v>9542</v>
      </c>
      <c r="S177" s="11"/>
      <c r="T177" s="13"/>
      <c r="V177" s="19" t="s">
        <v>24</v>
      </c>
      <c r="W177" s="11"/>
      <c r="X177" s="14">
        <f t="shared" si="19"/>
        <v>0</v>
      </c>
      <c r="Y177" s="15">
        <v>115</v>
      </c>
      <c r="Z177" s="15">
        <f t="shared" si="20"/>
        <v>4220.5</v>
      </c>
      <c r="AA177" s="13">
        <f t="shared" si="21"/>
        <v>13762.5</v>
      </c>
    </row>
    <row r="178" spans="1:27" s="28" customFormat="1" x14ac:dyDescent="0.3">
      <c r="A178" s="18">
        <v>177</v>
      </c>
      <c r="B178" s="8">
        <v>46271</v>
      </c>
      <c r="C178" s="8">
        <v>46271</v>
      </c>
      <c r="D178" s="20">
        <v>260906015</v>
      </c>
      <c r="E178" s="22" t="s">
        <v>446</v>
      </c>
      <c r="F178" s="9" t="s">
        <v>447</v>
      </c>
      <c r="G178" s="9"/>
      <c r="H178" s="37">
        <v>136</v>
      </c>
      <c r="I178" s="39" t="s">
        <v>69</v>
      </c>
      <c r="J178" s="36" t="s">
        <v>23</v>
      </c>
      <c r="K178" s="26" t="s">
        <v>30</v>
      </c>
      <c r="L178" s="9" t="s">
        <v>448</v>
      </c>
      <c r="M178" s="9" t="s">
        <v>71</v>
      </c>
      <c r="N178" s="9">
        <v>60.94</v>
      </c>
      <c r="O178" s="9">
        <v>16.18</v>
      </c>
      <c r="P178" s="10">
        <f t="shared" ref="P178:P211" si="23">N178-O178</f>
        <v>44.76</v>
      </c>
      <c r="Q178" s="11">
        <v>260</v>
      </c>
      <c r="R178" s="12">
        <f t="shared" si="18"/>
        <v>11637.6</v>
      </c>
      <c r="S178" s="11"/>
      <c r="T178" s="13"/>
      <c r="V178" s="19" t="s">
        <v>24</v>
      </c>
      <c r="W178" s="11"/>
      <c r="X178" s="14">
        <f t="shared" si="19"/>
        <v>0</v>
      </c>
      <c r="Y178" s="15">
        <v>115</v>
      </c>
      <c r="Z178" s="15">
        <f t="shared" si="20"/>
        <v>5147.3999999999996</v>
      </c>
      <c r="AA178" s="13">
        <f t="shared" si="21"/>
        <v>16785</v>
      </c>
    </row>
    <row r="179" spans="1:27" s="16" customFormat="1" x14ac:dyDescent="0.3">
      <c r="A179" s="18">
        <v>178</v>
      </c>
      <c r="B179" s="8">
        <v>46271</v>
      </c>
      <c r="C179" s="8">
        <v>46271</v>
      </c>
      <c r="D179" s="20">
        <v>260906016</v>
      </c>
      <c r="E179" s="22" t="s">
        <v>449</v>
      </c>
      <c r="F179" s="9" t="s">
        <v>450</v>
      </c>
      <c r="G179" s="9"/>
      <c r="H179" s="37">
        <v>136</v>
      </c>
      <c r="I179" s="39" t="s">
        <v>69</v>
      </c>
      <c r="J179" s="36" t="s">
        <v>23</v>
      </c>
      <c r="K179" s="26" t="s">
        <v>30</v>
      </c>
      <c r="L179" s="48" t="s">
        <v>290</v>
      </c>
      <c r="M179" s="9" t="s">
        <v>71</v>
      </c>
      <c r="N179" s="9">
        <v>63.86</v>
      </c>
      <c r="O179" s="9">
        <v>15.14</v>
      </c>
      <c r="P179" s="10">
        <f t="shared" si="23"/>
        <v>48.72</v>
      </c>
      <c r="Q179" s="11">
        <v>260</v>
      </c>
      <c r="R179" s="12">
        <f t="shared" si="18"/>
        <v>12667.199999999999</v>
      </c>
      <c r="S179" s="11"/>
      <c r="T179" s="13"/>
      <c r="V179" s="19" t="s">
        <v>24</v>
      </c>
      <c r="W179" s="11"/>
      <c r="X179" s="14">
        <f t="shared" si="19"/>
        <v>0</v>
      </c>
      <c r="Y179" s="15">
        <v>115</v>
      </c>
      <c r="Z179" s="15">
        <f t="shared" si="20"/>
        <v>5602.8</v>
      </c>
      <c r="AA179" s="13">
        <f t="shared" si="21"/>
        <v>18270</v>
      </c>
    </row>
    <row r="180" spans="1:27" s="16" customFormat="1" x14ac:dyDescent="0.3">
      <c r="A180" s="18">
        <v>179</v>
      </c>
      <c r="B180" s="8">
        <v>46271</v>
      </c>
      <c r="C180" s="8">
        <v>46271</v>
      </c>
      <c r="D180" s="20" t="s">
        <v>451</v>
      </c>
      <c r="E180" s="22"/>
      <c r="F180" s="9"/>
      <c r="G180" s="9"/>
      <c r="H180" s="31"/>
      <c r="I180" s="39" t="s">
        <v>452</v>
      </c>
      <c r="J180" s="36" t="s">
        <v>23</v>
      </c>
      <c r="K180" s="26" t="s">
        <v>297</v>
      </c>
      <c r="L180" s="9" t="s">
        <v>453</v>
      </c>
      <c r="M180" s="9" t="s">
        <v>31</v>
      </c>
      <c r="N180" s="9">
        <v>18.82</v>
      </c>
      <c r="O180" s="9">
        <v>8.1199999999999992</v>
      </c>
      <c r="P180" s="10">
        <f t="shared" si="23"/>
        <v>10.700000000000001</v>
      </c>
      <c r="Q180" s="11">
        <v>550</v>
      </c>
      <c r="R180" s="12">
        <f t="shared" si="18"/>
        <v>5885.0000000000009</v>
      </c>
      <c r="S180" s="11">
        <v>5885</v>
      </c>
      <c r="T180" s="13"/>
      <c r="V180" s="19" t="s">
        <v>24</v>
      </c>
      <c r="W180" s="11"/>
      <c r="X180" s="14">
        <f t="shared" si="19"/>
        <v>0</v>
      </c>
      <c r="Y180" s="15"/>
      <c r="Z180" s="15">
        <f t="shared" si="20"/>
        <v>0</v>
      </c>
      <c r="AA180" s="13">
        <f t="shared" si="21"/>
        <v>5885.0000000000009</v>
      </c>
    </row>
    <row r="181" spans="1:27" s="28" customFormat="1" x14ac:dyDescent="0.3">
      <c r="A181" s="18">
        <v>180</v>
      </c>
      <c r="B181" s="8">
        <v>46271</v>
      </c>
      <c r="C181" s="8">
        <v>46271</v>
      </c>
      <c r="D181" s="20">
        <v>260906017</v>
      </c>
      <c r="E181" s="22" t="s">
        <v>454</v>
      </c>
      <c r="F181" s="9" t="s">
        <v>455</v>
      </c>
      <c r="G181" s="9"/>
      <c r="H181" s="37">
        <v>136</v>
      </c>
      <c r="I181" s="39" t="s">
        <v>69</v>
      </c>
      <c r="J181" s="36" t="s">
        <v>23</v>
      </c>
      <c r="K181" s="26" t="s">
        <v>30</v>
      </c>
      <c r="L181" s="48" t="s">
        <v>85</v>
      </c>
      <c r="M181" s="9" t="s">
        <v>71</v>
      </c>
      <c r="N181" s="9">
        <v>59.24</v>
      </c>
      <c r="O181" s="9">
        <v>14.14</v>
      </c>
      <c r="P181" s="10">
        <f t="shared" si="23"/>
        <v>45.1</v>
      </c>
      <c r="Q181" s="11">
        <v>260</v>
      </c>
      <c r="R181" s="12">
        <f t="shared" si="18"/>
        <v>11726</v>
      </c>
      <c r="S181" s="11"/>
      <c r="T181" s="13"/>
      <c r="V181" s="19" t="s">
        <v>24</v>
      </c>
      <c r="W181" s="11"/>
      <c r="X181" s="14">
        <f t="shared" ref="X181:X212" si="24">P181*W181</f>
        <v>0</v>
      </c>
      <c r="Y181" s="15">
        <v>115</v>
      </c>
      <c r="Z181" s="15">
        <f t="shared" ref="Z181:Z212" si="25">P181*Y181</f>
        <v>5186.5</v>
      </c>
      <c r="AA181" s="13">
        <f t="shared" ref="AA181:AA212" si="26">R181+X181+Z181</f>
        <v>16912.5</v>
      </c>
    </row>
    <row r="182" spans="1:27" s="16" customFormat="1" x14ac:dyDescent="0.3">
      <c r="A182" s="18">
        <v>181</v>
      </c>
      <c r="B182" s="8">
        <v>46271</v>
      </c>
      <c r="C182" s="8">
        <v>46271</v>
      </c>
      <c r="D182" s="20">
        <v>260906018</v>
      </c>
      <c r="E182" s="22" t="s">
        <v>456</v>
      </c>
      <c r="F182" s="9" t="s">
        <v>457</v>
      </c>
      <c r="G182" s="9"/>
      <c r="H182" s="37">
        <v>136</v>
      </c>
      <c r="I182" s="39" t="s">
        <v>69</v>
      </c>
      <c r="J182" s="36" t="s">
        <v>23</v>
      </c>
      <c r="K182" s="26" t="s">
        <v>30</v>
      </c>
      <c r="L182" s="48" t="s">
        <v>82</v>
      </c>
      <c r="M182" s="9" t="s">
        <v>71</v>
      </c>
      <c r="N182" s="9">
        <v>62.36</v>
      </c>
      <c r="O182" s="9">
        <v>15.3</v>
      </c>
      <c r="P182" s="10">
        <f t="shared" si="23"/>
        <v>47.06</v>
      </c>
      <c r="Q182" s="11">
        <v>260</v>
      </c>
      <c r="R182" s="12">
        <f t="shared" si="18"/>
        <v>12235.6</v>
      </c>
      <c r="S182" s="11"/>
      <c r="T182" s="13"/>
      <c r="V182" s="19" t="s">
        <v>24</v>
      </c>
      <c r="W182" s="11"/>
      <c r="X182" s="14">
        <f t="shared" si="24"/>
        <v>0</v>
      </c>
      <c r="Y182" s="15">
        <v>115</v>
      </c>
      <c r="Z182" s="15">
        <f t="shared" si="25"/>
        <v>5411.9000000000005</v>
      </c>
      <c r="AA182" s="13">
        <f t="shared" si="26"/>
        <v>17647.5</v>
      </c>
    </row>
    <row r="183" spans="1:27" s="16" customFormat="1" x14ac:dyDescent="0.3">
      <c r="A183" s="18">
        <v>182</v>
      </c>
      <c r="B183" s="8">
        <v>46271</v>
      </c>
      <c r="C183" s="8">
        <v>46271</v>
      </c>
      <c r="D183" s="20">
        <v>260906019</v>
      </c>
      <c r="E183" s="22" t="s">
        <v>458</v>
      </c>
      <c r="F183" s="9" t="s">
        <v>459</v>
      </c>
      <c r="G183" s="9">
        <v>45</v>
      </c>
      <c r="H183" s="37">
        <v>130</v>
      </c>
      <c r="I183" s="26" t="s">
        <v>344</v>
      </c>
      <c r="J183" s="36" t="s">
        <v>23</v>
      </c>
      <c r="K183" s="26" t="s">
        <v>30</v>
      </c>
      <c r="L183" s="48" t="s">
        <v>345</v>
      </c>
      <c r="M183" s="9" t="s">
        <v>31</v>
      </c>
      <c r="N183" s="9">
        <v>61.16</v>
      </c>
      <c r="O183" s="9">
        <v>15.4</v>
      </c>
      <c r="P183" s="10">
        <f t="shared" si="23"/>
        <v>45.76</v>
      </c>
      <c r="Q183" s="11">
        <v>520</v>
      </c>
      <c r="R183" s="12">
        <f t="shared" si="18"/>
        <v>23795.200000000001</v>
      </c>
      <c r="S183" s="11"/>
      <c r="T183" s="13"/>
      <c r="V183" s="19" t="s">
        <v>62</v>
      </c>
      <c r="W183" s="11">
        <v>150</v>
      </c>
      <c r="X183" s="14">
        <f t="shared" si="24"/>
        <v>6864</v>
      </c>
      <c r="Y183" s="15"/>
      <c r="Z183" s="15">
        <f t="shared" si="25"/>
        <v>0</v>
      </c>
      <c r="AA183" s="13">
        <f t="shared" si="26"/>
        <v>30659.200000000001</v>
      </c>
    </row>
    <row r="184" spans="1:27" s="16" customFormat="1" x14ac:dyDescent="0.3">
      <c r="A184" s="18">
        <v>183</v>
      </c>
      <c r="B184" s="8">
        <v>46271</v>
      </c>
      <c r="C184" s="8">
        <v>46271</v>
      </c>
      <c r="D184" s="20">
        <v>260906020</v>
      </c>
      <c r="E184" s="22" t="s">
        <v>460</v>
      </c>
      <c r="F184" s="9" t="s">
        <v>461</v>
      </c>
      <c r="G184" s="9">
        <v>42</v>
      </c>
      <c r="H184" s="37">
        <v>130</v>
      </c>
      <c r="I184" s="26" t="s">
        <v>344</v>
      </c>
      <c r="J184" s="36" t="s">
        <v>23</v>
      </c>
      <c r="K184" s="26" t="s">
        <v>30</v>
      </c>
      <c r="L184" s="48" t="s">
        <v>462</v>
      </c>
      <c r="M184" s="9" t="s">
        <v>108</v>
      </c>
      <c r="N184" s="9">
        <v>58.12</v>
      </c>
      <c r="O184" s="9">
        <v>15.42</v>
      </c>
      <c r="P184" s="10">
        <f t="shared" si="23"/>
        <v>42.699999999999996</v>
      </c>
      <c r="Q184" s="11">
        <v>300</v>
      </c>
      <c r="R184" s="12">
        <f t="shared" si="18"/>
        <v>12809.999999999998</v>
      </c>
      <c r="S184" s="11"/>
      <c r="T184" s="13"/>
      <c r="V184" s="19" t="s">
        <v>62</v>
      </c>
      <c r="W184" s="11">
        <v>150</v>
      </c>
      <c r="X184" s="14">
        <f t="shared" si="24"/>
        <v>6404.9999999999991</v>
      </c>
      <c r="Y184" s="15"/>
      <c r="Z184" s="15">
        <f t="shared" si="25"/>
        <v>0</v>
      </c>
      <c r="AA184" s="13">
        <f t="shared" si="26"/>
        <v>19214.999999999996</v>
      </c>
    </row>
    <row r="185" spans="1:27" s="16" customFormat="1" x14ac:dyDescent="0.3">
      <c r="A185" s="18">
        <v>184</v>
      </c>
      <c r="B185" s="8">
        <v>46271</v>
      </c>
      <c r="C185" s="8">
        <v>46271</v>
      </c>
      <c r="D185" s="20">
        <v>260906021</v>
      </c>
      <c r="E185" s="22" t="s">
        <v>463</v>
      </c>
      <c r="F185" s="9" t="s">
        <v>464</v>
      </c>
      <c r="G185" s="9"/>
      <c r="H185" s="37">
        <v>136</v>
      </c>
      <c r="I185" s="39" t="s">
        <v>69</v>
      </c>
      <c r="J185" s="36" t="s">
        <v>23</v>
      </c>
      <c r="K185" s="26" t="s">
        <v>30</v>
      </c>
      <c r="L185" s="48" t="s">
        <v>465</v>
      </c>
      <c r="M185" s="9" t="s">
        <v>71</v>
      </c>
      <c r="N185" s="9">
        <v>62.14</v>
      </c>
      <c r="O185" s="9">
        <v>15.68</v>
      </c>
      <c r="P185" s="10">
        <f>N185-O185</f>
        <v>46.46</v>
      </c>
      <c r="Q185" s="11">
        <v>260</v>
      </c>
      <c r="R185" s="12">
        <f t="shared" si="18"/>
        <v>12079.6</v>
      </c>
      <c r="S185" s="11"/>
      <c r="T185" s="13"/>
      <c r="V185" s="19" t="s">
        <v>24</v>
      </c>
      <c r="W185" s="11"/>
      <c r="X185" s="14">
        <f t="shared" si="24"/>
        <v>0</v>
      </c>
      <c r="Y185" s="15">
        <v>115</v>
      </c>
      <c r="Z185" s="15">
        <f t="shared" si="25"/>
        <v>5342.9000000000005</v>
      </c>
      <c r="AA185" s="13">
        <f t="shared" si="26"/>
        <v>17422.5</v>
      </c>
    </row>
    <row r="186" spans="1:27" s="16" customFormat="1" x14ac:dyDescent="0.3">
      <c r="A186" s="18">
        <v>185</v>
      </c>
      <c r="B186" s="8">
        <v>46271</v>
      </c>
      <c r="C186" s="8">
        <v>46271</v>
      </c>
      <c r="D186" s="20" t="s">
        <v>466</v>
      </c>
      <c r="E186" s="22"/>
      <c r="F186" s="9"/>
      <c r="G186" s="21"/>
      <c r="H186" s="32"/>
      <c r="I186" s="26" t="s">
        <v>333</v>
      </c>
      <c r="J186" s="36" t="s">
        <v>23</v>
      </c>
      <c r="K186" s="26" t="s">
        <v>30</v>
      </c>
      <c r="L186" s="48" t="s">
        <v>47</v>
      </c>
      <c r="M186" s="9" t="s">
        <v>233</v>
      </c>
      <c r="N186" s="9">
        <v>26.98</v>
      </c>
      <c r="O186" s="9">
        <v>15.32</v>
      </c>
      <c r="P186" s="10">
        <f t="shared" si="23"/>
        <v>11.66</v>
      </c>
      <c r="Q186" s="11">
        <v>0</v>
      </c>
      <c r="R186" s="12">
        <f t="shared" si="18"/>
        <v>0</v>
      </c>
      <c r="S186" s="11"/>
      <c r="T186" s="13"/>
      <c r="V186" s="19" t="s">
        <v>24</v>
      </c>
      <c r="W186" s="11"/>
      <c r="X186" s="14">
        <f t="shared" si="24"/>
        <v>0</v>
      </c>
      <c r="Y186" s="15"/>
      <c r="Z186" s="15">
        <f t="shared" si="25"/>
        <v>0</v>
      </c>
      <c r="AA186" s="13">
        <f t="shared" si="26"/>
        <v>0</v>
      </c>
    </row>
    <row r="187" spans="1:27" s="16" customFormat="1" x14ac:dyDescent="0.3">
      <c r="A187" s="18">
        <v>186</v>
      </c>
      <c r="B187" s="8">
        <v>46271</v>
      </c>
      <c r="C187" s="8">
        <v>46271</v>
      </c>
      <c r="D187" s="20" t="s">
        <v>467</v>
      </c>
      <c r="E187" s="22"/>
      <c r="F187" s="9"/>
      <c r="G187" s="9"/>
      <c r="H187" s="32"/>
      <c r="I187" s="26" t="s">
        <v>333</v>
      </c>
      <c r="J187" s="36" t="s">
        <v>23</v>
      </c>
      <c r="K187" s="26" t="s">
        <v>30</v>
      </c>
      <c r="L187" s="48" t="s">
        <v>45</v>
      </c>
      <c r="M187" s="9" t="s">
        <v>233</v>
      </c>
      <c r="N187" s="9">
        <v>24.44</v>
      </c>
      <c r="O187" s="9">
        <v>13.96</v>
      </c>
      <c r="P187" s="10">
        <f t="shared" si="23"/>
        <v>10.48</v>
      </c>
      <c r="Q187" s="11">
        <v>0</v>
      </c>
      <c r="R187" s="12">
        <f t="shared" si="18"/>
        <v>0</v>
      </c>
      <c r="S187" s="11"/>
      <c r="T187" s="13"/>
      <c r="V187" s="19" t="s">
        <v>24</v>
      </c>
      <c r="W187" s="11"/>
      <c r="X187" s="14">
        <f t="shared" si="24"/>
        <v>0</v>
      </c>
      <c r="Y187" s="15"/>
      <c r="Z187" s="15">
        <f t="shared" si="25"/>
        <v>0</v>
      </c>
      <c r="AA187" s="13">
        <f t="shared" si="26"/>
        <v>0</v>
      </c>
    </row>
    <row r="188" spans="1:27" s="16" customFormat="1" x14ac:dyDescent="0.3">
      <c r="A188" s="18">
        <v>187</v>
      </c>
      <c r="B188" s="8">
        <v>46271</v>
      </c>
      <c r="C188" s="8">
        <v>46271</v>
      </c>
      <c r="D188" s="20" t="s">
        <v>468</v>
      </c>
      <c r="E188" s="22"/>
      <c r="F188" s="9"/>
      <c r="G188" s="9"/>
      <c r="H188" s="32"/>
      <c r="I188" s="26" t="s">
        <v>333</v>
      </c>
      <c r="J188" s="36" t="s">
        <v>23</v>
      </c>
      <c r="K188" s="26" t="s">
        <v>30</v>
      </c>
      <c r="L188" s="48" t="s">
        <v>39</v>
      </c>
      <c r="M188" s="9" t="s">
        <v>233</v>
      </c>
      <c r="N188" s="9">
        <v>25.02</v>
      </c>
      <c r="O188" s="9">
        <v>14.32</v>
      </c>
      <c r="P188" s="10">
        <f t="shared" si="23"/>
        <v>10.7</v>
      </c>
      <c r="Q188" s="11">
        <v>0</v>
      </c>
      <c r="R188" s="12">
        <f t="shared" si="18"/>
        <v>0</v>
      </c>
      <c r="S188" s="11"/>
      <c r="T188" s="13"/>
      <c r="V188" s="19" t="s">
        <v>24</v>
      </c>
      <c r="W188" s="11"/>
      <c r="X188" s="14">
        <f t="shared" si="24"/>
        <v>0</v>
      </c>
      <c r="Y188" s="15"/>
      <c r="Z188" s="15">
        <f t="shared" si="25"/>
        <v>0</v>
      </c>
      <c r="AA188" s="13">
        <f t="shared" si="26"/>
        <v>0</v>
      </c>
    </row>
    <row r="189" spans="1:27" s="16" customFormat="1" x14ac:dyDescent="0.3">
      <c r="A189" s="18">
        <v>188</v>
      </c>
      <c r="B189" s="8">
        <v>46271</v>
      </c>
      <c r="C189" s="8">
        <v>46271</v>
      </c>
      <c r="D189" s="20" t="s">
        <v>469</v>
      </c>
      <c r="E189" s="22"/>
      <c r="F189" s="9"/>
      <c r="G189" s="9"/>
      <c r="H189" s="32"/>
      <c r="I189" s="26" t="s">
        <v>333</v>
      </c>
      <c r="J189" s="36" t="s">
        <v>23</v>
      </c>
      <c r="K189" s="26" t="s">
        <v>30</v>
      </c>
      <c r="L189" s="48" t="s">
        <v>39</v>
      </c>
      <c r="M189" s="9" t="s">
        <v>233</v>
      </c>
      <c r="N189" s="9">
        <v>24.16</v>
      </c>
      <c r="O189" s="9">
        <v>14.34</v>
      </c>
      <c r="P189" s="10">
        <f t="shared" si="23"/>
        <v>9.82</v>
      </c>
      <c r="Q189" s="11">
        <v>0</v>
      </c>
      <c r="R189" s="12">
        <f t="shared" si="18"/>
        <v>0</v>
      </c>
      <c r="S189" s="11"/>
      <c r="T189" s="13"/>
      <c r="V189" s="19" t="s">
        <v>24</v>
      </c>
      <c r="W189" s="11"/>
      <c r="X189" s="14">
        <f t="shared" si="24"/>
        <v>0</v>
      </c>
      <c r="Y189" s="15"/>
      <c r="Z189" s="15">
        <f t="shared" si="25"/>
        <v>0</v>
      </c>
      <c r="AA189" s="13">
        <f t="shared" si="26"/>
        <v>0</v>
      </c>
    </row>
    <row r="190" spans="1:27" s="16" customFormat="1" x14ac:dyDescent="0.3">
      <c r="A190" s="18">
        <v>189</v>
      </c>
      <c r="B190" s="8">
        <v>46271</v>
      </c>
      <c r="C190" s="8">
        <v>46271</v>
      </c>
      <c r="D190" s="51" t="s">
        <v>470</v>
      </c>
      <c r="E190" s="22"/>
      <c r="F190" s="9"/>
      <c r="G190" s="9"/>
      <c r="H190" s="32"/>
      <c r="I190" s="26" t="s">
        <v>333</v>
      </c>
      <c r="J190" s="36" t="s">
        <v>23</v>
      </c>
      <c r="K190" s="26" t="s">
        <v>30</v>
      </c>
      <c r="L190" s="48" t="s">
        <v>49</v>
      </c>
      <c r="M190" s="9" t="s">
        <v>233</v>
      </c>
      <c r="N190" s="9">
        <v>24.52</v>
      </c>
      <c r="O190" s="9">
        <v>14.14</v>
      </c>
      <c r="P190" s="10">
        <f t="shared" si="23"/>
        <v>10.379999999999999</v>
      </c>
      <c r="Q190" s="11">
        <v>0</v>
      </c>
      <c r="R190" s="12">
        <f t="shared" si="18"/>
        <v>0</v>
      </c>
      <c r="S190" s="11"/>
      <c r="T190" s="13"/>
      <c r="V190" s="19" t="s">
        <v>24</v>
      </c>
      <c r="W190" s="11"/>
      <c r="X190" s="14">
        <f t="shared" si="24"/>
        <v>0</v>
      </c>
      <c r="Y190" s="15"/>
      <c r="Z190" s="15">
        <f t="shared" si="25"/>
        <v>0</v>
      </c>
      <c r="AA190" s="13">
        <f t="shared" si="26"/>
        <v>0</v>
      </c>
    </row>
    <row r="191" spans="1:27" s="16" customFormat="1" x14ac:dyDescent="0.3">
      <c r="A191" s="18">
        <v>190</v>
      </c>
      <c r="B191" s="8">
        <v>46271</v>
      </c>
      <c r="C191" s="8">
        <v>46271</v>
      </c>
      <c r="D191" s="20">
        <v>260906022</v>
      </c>
      <c r="E191" s="22" t="s">
        <v>471</v>
      </c>
      <c r="F191" s="9" t="s">
        <v>472</v>
      </c>
      <c r="G191" s="9">
        <v>46</v>
      </c>
      <c r="H191" s="37">
        <v>130</v>
      </c>
      <c r="I191" s="26" t="s">
        <v>344</v>
      </c>
      <c r="J191" s="36" t="s">
        <v>23</v>
      </c>
      <c r="K191" s="26" t="s">
        <v>30</v>
      </c>
      <c r="L191" s="48" t="s">
        <v>345</v>
      </c>
      <c r="M191" s="9" t="s">
        <v>31</v>
      </c>
      <c r="N191" s="9">
        <v>61.66</v>
      </c>
      <c r="O191" s="9">
        <v>15.54</v>
      </c>
      <c r="P191" s="10">
        <f t="shared" si="23"/>
        <v>46.12</v>
      </c>
      <c r="Q191" s="11">
        <v>520</v>
      </c>
      <c r="R191" s="12">
        <f t="shared" si="18"/>
        <v>23982.399999999998</v>
      </c>
      <c r="S191" s="11"/>
      <c r="T191" s="13"/>
      <c r="V191" s="19" t="s">
        <v>62</v>
      </c>
      <c r="W191" s="11">
        <v>150</v>
      </c>
      <c r="X191" s="14">
        <f t="shared" si="24"/>
        <v>6918</v>
      </c>
      <c r="Y191" s="15"/>
      <c r="Z191" s="15">
        <f t="shared" si="25"/>
        <v>0</v>
      </c>
      <c r="AA191" s="13">
        <f t="shared" si="26"/>
        <v>30900.399999999998</v>
      </c>
    </row>
    <row r="192" spans="1:27" s="16" customFormat="1" x14ac:dyDescent="0.3">
      <c r="A192" s="18">
        <v>191</v>
      </c>
      <c r="B192" s="8">
        <v>46271</v>
      </c>
      <c r="C192" s="8">
        <v>46271</v>
      </c>
      <c r="D192" s="20">
        <v>260906023</v>
      </c>
      <c r="E192" s="22" t="s">
        <v>473</v>
      </c>
      <c r="F192" s="9" t="s">
        <v>474</v>
      </c>
      <c r="G192" s="9"/>
      <c r="H192" s="37">
        <v>136</v>
      </c>
      <c r="I192" s="39" t="s">
        <v>69</v>
      </c>
      <c r="J192" s="36" t="s">
        <v>23</v>
      </c>
      <c r="K192" s="26" t="s">
        <v>30</v>
      </c>
      <c r="L192" s="11" t="s">
        <v>137</v>
      </c>
      <c r="M192" s="16" t="s">
        <v>71</v>
      </c>
      <c r="N192" s="9">
        <v>61.56</v>
      </c>
      <c r="O192" s="9">
        <v>15.4</v>
      </c>
      <c r="P192" s="10">
        <f t="shared" si="23"/>
        <v>46.160000000000004</v>
      </c>
      <c r="Q192" s="11">
        <v>260</v>
      </c>
      <c r="R192" s="12">
        <f t="shared" si="18"/>
        <v>12001.6</v>
      </c>
      <c r="S192" s="11"/>
      <c r="T192" s="13"/>
      <c r="V192" s="19" t="s">
        <v>24</v>
      </c>
      <c r="W192" s="11"/>
      <c r="X192" s="14">
        <f t="shared" si="24"/>
        <v>0</v>
      </c>
      <c r="Y192" s="15">
        <v>115</v>
      </c>
      <c r="Z192" s="15">
        <f t="shared" si="25"/>
        <v>5308.4000000000005</v>
      </c>
      <c r="AA192" s="13">
        <f t="shared" si="26"/>
        <v>17310</v>
      </c>
    </row>
    <row r="193" spans="1:27" s="16" customFormat="1" x14ac:dyDescent="0.3">
      <c r="A193" s="18">
        <v>192</v>
      </c>
      <c r="B193" s="8">
        <v>46271</v>
      </c>
      <c r="C193" s="8">
        <v>46272</v>
      </c>
      <c r="D193" s="44" t="s">
        <v>475</v>
      </c>
      <c r="E193" s="22"/>
      <c r="F193" s="9"/>
      <c r="G193" s="9"/>
      <c r="H193" s="34">
        <v>135</v>
      </c>
      <c r="I193" s="26" t="s">
        <v>476</v>
      </c>
      <c r="J193" s="36" t="s">
        <v>23</v>
      </c>
      <c r="K193" s="26" t="s">
        <v>297</v>
      </c>
      <c r="L193" s="48" t="s">
        <v>477</v>
      </c>
      <c r="M193" s="9" t="s">
        <v>31</v>
      </c>
      <c r="N193" s="9">
        <v>41.88</v>
      </c>
      <c r="O193" s="9">
        <v>11.72</v>
      </c>
      <c r="P193" s="10">
        <f t="shared" si="23"/>
        <v>30.160000000000004</v>
      </c>
      <c r="Q193" s="11">
        <v>550</v>
      </c>
      <c r="R193" s="12">
        <f t="shared" si="18"/>
        <v>16588.000000000004</v>
      </c>
      <c r="S193" s="11">
        <v>16588</v>
      </c>
      <c r="T193" s="13"/>
      <c r="V193" s="19" t="s">
        <v>24</v>
      </c>
      <c r="W193" s="11"/>
      <c r="X193" s="14">
        <f t="shared" si="24"/>
        <v>0</v>
      </c>
      <c r="Y193" s="15"/>
      <c r="Z193" s="15">
        <f t="shared" si="25"/>
        <v>0</v>
      </c>
      <c r="AA193" s="13">
        <f t="shared" si="26"/>
        <v>16588.000000000004</v>
      </c>
    </row>
    <row r="194" spans="1:27" s="16" customFormat="1" x14ac:dyDescent="0.3">
      <c r="A194" s="18">
        <v>193</v>
      </c>
      <c r="B194" s="8">
        <v>46271</v>
      </c>
      <c r="C194" s="8">
        <v>46272</v>
      </c>
      <c r="D194" s="44">
        <v>260907001</v>
      </c>
      <c r="E194" s="22" t="s">
        <v>478</v>
      </c>
      <c r="F194" s="9" t="s">
        <v>479</v>
      </c>
      <c r="G194" s="9">
        <v>45</v>
      </c>
      <c r="H194" s="37">
        <v>130</v>
      </c>
      <c r="I194" s="26" t="s">
        <v>344</v>
      </c>
      <c r="J194" s="36" t="s">
        <v>23</v>
      </c>
      <c r="K194" s="26" t="s">
        <v>30</v>
      </c>
      <c r="L194" s="48" t="s">
        <v>480</v>
      </c>
      <c r="M194" s="9" t="s">
        <v>31</v>
      </c>
      <c r="N194" s="9">
        <v>60.72</v>
      </c>
      <c r="O194" s="9">
        <v>15.4</v>
      </c>
      <c r="P194" s="10">
        <f t="shared" si="23"/>
        <v>45.32</v>
      </c>
      <c r="Q194" s="11">
        <v>520</v>
      </c>
      <c r="R194" s="12">
        <f t="shared" ref="R194:R257" si="27">P194*Q194</f>
        <v>23566.400000000001</v>
      </c>
      <c r="S194" s="11"/>
      <c r="T194" s="13"/>
      <c r="V194" s="19" t="s">
        <v>62</v>
      </c>
      <c r="W194" s="11">
        <v>150</v>
      </c>
      <c r="X194" s="14">
        <f t="shared" si="24"/>
        <v>6798</v>
      </c>
      <c r="Y194" s="15"/>
      <c r="Z194" s="15">
        <f t="shared" si="25"/>
        <v>0</v>
      </c>
      <c r="AA194" s="13">
        <f t="shared" si="26"/>
        <v>30364.400000000001</v>
      </c>
    </row>
    <row r="195" spans="1:27" s="16" customFormat="1" x14ac:dyDescent="0.3">
      <c r="A195" s="18">
        <v>194</v>
      </c>
      <c r="B195" s="8">
        <v>46271</v>
      </c>
      <c r="C195" s="8">
        <v>46272</v>
      </c>
      <c r="D195" s="44">
        <v>260907002</v>
      </c>
      <c r="E195" s="22" t="s">
        <v>481</v>
      </c>
      <c r="F195" s="9" t="s">
        <v>482</v>
      </c>
      <c r="G195" s="9">
        <v>47</v>
      </c>
      <c r="H195" s="43">
        <v>24</v>
      </c>
      <c r="I195" s="26" t="s">
        <v>308</v>
      </c>
      <c r="J195" s="27" t="s">
        <v>23</v>
      </c>
      <c r="K195" s="26" t="s">
        <v>30</v>
      </c>
      <c r="L195" s="48" t="s">
        <v>319</v>
      </c>
      <c r="M195" s="9" t="s">
        <v>173</v>
      </c>
      <c r="N195" s="9">
        <v>63.26</v>
      </c>
      <c r="O195" s="9">
        <v>15.82</v>
      </c>
      <c r="P195" s="10">
        <f t="shared" si="23"/>
        <v>47.44</v>
      </c>
      <c r="Q195" s="11">
        <v>415</v>
      </c>
      <c r="R195" s="12">
        <f t="shared" si="27"/>
        <v>19687.599999999999</v>
      </c>
      <c r="S195" s="11"/>
      <c r="T195" s="13"/>
      <c r="V195" s="19" t="s">
        <v>24</v>
      </c>
      <c r="W195" s="11">
        <v>145</v>
      </c>
      <c r="X195" s="14">
        <f t="shared" si="24"/>
        <v>6878.7999999999993</v>
      </c>
      <c r="Y195" s="15">
        <v>260</v>
      </c>
      <c r="Z195" s="15">
        <f t="shared" si="25"/>
        <v>12334.4</v>
      </c>
      <c r="AA195" s="13">
        <f t="shared" si="26"/>
        <v>38900.799999999996</v>
      </c>
    </row>
    <row r="196" spans="1:27" s="16" customFormat="1" x14ac:dyDescent="0.3">
      <c r="A196" s="18">
        <v>195</v>
      </c>
      <c r="B196" s="8">
        <v>46271</v>
      </c>
      <c r="C196" s="8">
        <v>46272</v>
      </c>
      <c r="D196" s="44">
        <v>260907003</v>
      </c>
      <c r="E196" s="22" t="s">
        <v>483</v>
      </c>
      <c r="F196" s="9" t="s">
        <v>484</v>
      </c>
      <c r="G196" s="9">
        <v>48</v>
      </c>
      <c r="H196" s="43">
        <v>24</v>
      </c>
      <c r="I196" s="26" t="s">
        <v>308</v>
      </c>
      <c r="J196" s="27" t="s">
        <v>23</v>
      </c>
      <c r="K196" s="26" t="s">
        <v>30</v>
      </c>
      <c r="L196" s="48" t="s">
        <v>170</v>
      </c>
      <c r="M196" s="9" t="s">
        <v>173</v>
      </c>
      <c r="N196" s="9">
        <v>62.9</v>
      </c>
      <c r="O196" s="9">
        <v>14.88</v>
      </c>
      <c r="P196" s="10">
        <f t="shared" si="23"/>
        <v>48.019999999999996</v>
      </c>
      <c r="Q196" s="11">
        <v>415</v>
      </c>
      <c r="R196" s="12">
        <f t="shared" si="27"/>
        <v>19928.3</v>
      </c>
      <c r="S196" s="11"/>
      <c r="T196" s="13"/>
      <c r="V196" s="19" t="s">
        <v>24</v>
      </c>
      <c r="W196" s="11">
        <v>145</v>
      </c>
      <c r="X196" s="14">
        <f t="shared" si="24"/>
        <v>6962.9</v>
      </c>
      <c r="Y196" s="15">
        <v>260</v>
      </c>
      <c r="Z196" s="15">
        <f t="shared" si="25"/>
        <v>12485.199999999999</v>
      </c>
      <c r="AA196" s="13">
        <f t="shared" si="26"/>
        <v>39376.399999999994</v>
      </c>
    </row>
    <row r="197" spans="1:27" s="16" customFormat="1" x14ac:dyDescent="0.3">
      <c r="A197" s="18">
        <v>196</v>
      </c>
      <c r="B197" s="8">
        <v>46271</v>
      </c>
      <c r="C197" s="8">
        <v>46272</v>
      </c>
      <c r="D197" s="44">
        <v>260907004</v>
      </c>
      <c r="E197" s="22" t="s">
        <v>485</v>
      </c>
      <c r="F197" s="9" t="s">
        <v>486</v>
      </c>
      <c r="G197" s="9">
        <v>48</v>
      </c>
      <c r="H197" s="43">
        <v>24</v>
      </c>
      <c r="I197" s="26" t="s">
        <v>308</v>
      </c>
      <c r="J197" s="27" t="s">
        <v>23</v>
      </c>
      <c r="K197" s="26" t="s">
        <v>30</v>
      </c>
      <c r="L197" s="17" t="s">
        <v>487</v>
      </c>
      <c r="M197" s="9" t="s">
        <v>173</v>
      </c>
      <c r="N197" s="9">
        <v>64.38</v>
      </c>
      <c r="O197" s="9">
        <v>16.14</v>
      </c>
      <c r="P197" s="10">
        <f t="shared" si="23"/>
        <v>48.239999999999995</v>
      </c>
      <c r="Q197" s="11">
        <v>415</v>
      </c>
      <c r="R197" s="12">
        <f t="shared" si="27"/>
        <v>20019.599999999999</v>
      </c>
      <c r="S197" s="11"/>
      <c r="T197" s="13"/>
      <c r="V197" s="19" t="s">
        <v>24</v>
      </c>
      <c r="W197" s="11">
        <v>145</v>
      </c>
      <c r="X197" s="14">
        <f t="shared" si="24"/>
        <v>6994.7999999999993</v>
      </c>
      <c r="Y197" s="15">
        <v>260</v>
      </c>
      <c r="Z197" s="15">
        <f t="shared" si="25"/>
        <v>12542.399999999998</v>
      </c>
      <c r="AA197" s="13">
        <f t="shared" si="26"/>
        <v>39556.799999999996</v>
      </c>
    </row>
    <row r="198" spans="1:27" s="16" customFormat="1" x14ac:dyDescent="0.3">
      <c r="A198" s="18">
        <v>197</v>
      </c>
      <c r="B198" s="8">
        <v>46271</v>
      </c>
      <c r="C198" s="8">
        <v>46272</v>
      </c>
      <c r="D198" s="44">
        <v>260907005</v>
      </c>
      <c r="E198" s="22" t="s">
        <v>488</v>
      </c>
      <c r="F198" s="9" t="s">
        <v>489</v>
      </c>
      <c r="G198" s="9">
        <v>44</v>
      </c>
      <c r="H198" s="43">
        <v>24</v>
      </c>
      <c r="I198" s="26" t="s">
        <v>308</v>
      </c>
      <c r="J198" s="27" t="s">
        <v>23</v>
      </c>
      <c r="K198" s="26" t="s">
        <v>30</v>
      </c>
      <c r="L198" s="17" t="s">
        <v>70</v>
      </c>
      <c r="M198" s="9" t="s">
        <v>173</v>
      </c>
      <c r="N198" s="9">
        <v>59.82</v>
      </c>
      <c r="O198" s="9">
        <v>15.7</v>
      </c>
      <c r="P198" s="10">
        <f t="shared" si="23"/>
        <v>44.120000000000005</v>
      </c>
      <c r="Q198" s="11">
        <v>415</v>
      </c>
      <c r="R198" s="12">
        <f t="shared" si="27"/>
        <v>18309.800000000003</v>
      </c>
      <c r="S198" s="11"/>
      <c r="T198" s="13"/>
      <c r="V198" s="19" t="s">
        <v>24</v>
      </c>
      <c r="W198" s="11">
        <v>145</v>
      </c>
      <c r="X198" s="14">
        <f t="shared" si="24"/>
        <v>6397.4000000000005</v>
      </c>
      <c r="Y198" s="15">
        <v>260</v>
      </c>
      <c r="Z198" s="15">
        <f t="shared" si="25"/>
        <v>11471.2</v>
      </c>
      <c r="AA198" s="13">
        <f t="shared" si="26"/>
        <v>36178.400000000009</v>
      </c>
    </row>
    <row r="199" spans="1:27" s="16" customFormat="1" x14ac:dyDescent="0.3">
      <c r="A199" s="18">
        <v>198</v>
      </c>
      <c r="B199" s="8">
        <v>46271</v>
      </c>
      <c r="C199" s="8">
        <v>46272</v>
      </c>
      <c r="D199" s="44">
        <v>260907006</v>
      </c>
      <c r="E199" s="22" t="s">
        <v>490</v>
      </c>
      <c r="F199" s="9" t="s">
        <v>491</v>
      </c>
      <c r="G199" s="9">
        <v>38</v>
      </c>
      <c r="H199" s="43">
        <v>24</v>
      </c>
      <c r="I199" s="26" t="s">
        <v>308</v>
      </c>
      <c r="J199" s="27" t="s">
        <v>23</v>
      </c>
      <c r="K199" s="26" t="s">
        <v>30</v>
      </c>
      <c r="L199" s="17" t="s">
        <v>386</v>
      </c>
      <c r="M199" s="9" t="s">
        <v>173</v>
      </c>
      <c r="N199" s="9">
        <v>50.56</v>
      </c>
      <c r="O199" s="9">
        <v>11.98</v>
      </c>
      <c r="P199" s="10">
        <f t="shared" si="23"/>
        <v>38.58</v>
      </c>
      <c r="Q199" s="11">
        <v>415</v>
      </c>
      <c r="R199" s="12">
        <f t="shared" si="27"/>
        <v>16010.699999999999</v>
      </c>
      <c r="S199" s="11"/>
      <c r="T199" s="13"/>
      <c r="V199" s="19" t="s">
        <v>24</v>
      </c>
      <c r="W199" s="11">
        <v>145</v>
      </c>
      <c r="X199" s="14">
        <f t="shared" si="24"/>
        <v>5594.0999999999995</v>
      </c>
      <c r="Y199" s="15">
        <v>260</v>
      </c>
      <c r="Z199" s="15">
        <f t="shared" si="25"/>
        <v>10030.799999999999</v>
      </c>
      <c r="AA199" s="13">
        <f t="shared" si="26"/>
        <v>31635.599999999999</v>
      </c>
    </row>
    <row r="200" spans="1:27" s="16" customFormat="1" x14ac:dyDescent="0.3">
      <c r="A200" s="18">
        <v>199</v>
      </c>
      <c r="B200" s="8">
        <v>46271</v>
      </c>
      <c r="C200" s="8">
        <v>46272</v>
      </c>
      <c r="D200" s="44">
        <v>260907007</v>
      </c>
      <c r="E200" s="22" t="s">
        <v>492</v>
      </c>
      <c r="F200" s="9" t="s">
        <v>493</v>
      </c>
      <c r="G200" s="9">
        <v>37</v>
      </c>
      <c r="H200" s="43">
        <v>24</v>
      </c>
      <c r="I200" s="26" t="s">
        <v>308</v>
      </c>
      <c r="J200" s="27" t="s">
        <v>23</v>
      </c>
      <c r="K200" s="26" t="s">
        <v>30</v>
      </c>
      <c r="L200" s="45" t="s">
        <v>104</v>
      </c>
      <c r="M200" s="9" t="s">
        <v>173</v>
      </c>
      <c r="N200" s="9">
        <v>49.2</v>
      </c>
      <c r="O200" s="9">
        <v>11.72</v>
      </c>
      <c r="P200" s="10">
        <f t="shared" si="23"/>
        <v>37.480000000000004</v>
      </c>
      <c r="Q200" s="11">
        <v>415</v>
      </c>
      <c r="R200" s="12">
        <f t="shared" si="27"/>
        <v>15554.200000000003</v>
      </c>
      <c r="S200" s="11"/>
      <c r="T200" s="13"/>
      <c r="V200" s="19" t="s">
        <v>24</v>
      </c>
      <c r="W200" s="11">
        <v>145</v>
      </c>
      <c r="X200" s="14">
        <f t="shared" si="24"/>
        <v>5434.6</v>
      </c>
      <c r="Y200" s="15">
        <v>260</v>
      </c>
      <c r="Z200" s="15">
        <f t="shared" si="25"/>
        <v>9744.8000000000011</v>
      </c>
      <c r="AA200" s="13">
        <f t="shared" si="26"/>
        <v>30733.600000000006</v>
      </c>
    </row>
    <row r="201" spans="1:27" s="16" customFormat="1" x14ac:dyDescent="0.3">
      <c r="A201" s="18">
        <v>200</v>
      </c>
      <c r="B201" s="8">
        <v>46271</v>
      </c>
      <c r="C201" s="8">
        <v>46272</v>
      </c>
      <c r="D201" s="44">
        <v>260907008</v>
      </c>
      <c r="E201" s="22" t="s">
        <v>494</v>
      </c>
      <c r="F201" s="9" t="s">
        <v>495</v>
      </c>
      <c r="G201" s="9">
        <v>37</v>
      </c>
      <c r="H201" s="43">
        <v>24</v>
      </c>
      <c r="I201" s="26" t="s">
        <v>308</v>
      </c>
      <c r="J201" s="27" t="s">
        <v>23</v>
      </c>
      <c r="K201" s="26" t="s">
        <v>30</v>
      </c>
      <c r="L201" s="45" t="s">
        <v>111</v>
      </c>
      <c r="M201" s="9" t="s">
        <v>173</v>
      </c>
      <c r="N201" s="9">
        <v>49.14</v>
      </c>
      <c r="O201" s="9">
        <v>11.82</v>
      </c>
      <c r="P201" s="10">
        <f t="shared" si="23"/>
        <v>37.32</v>
      </c>
      <c r="Q201" s="11">
        <v>415</v>
      </c>
      <c r="R201" s="12">
        <f t="shared" si="27"/>
        <v>15487.8</v>
      </c>
      <c r="S201" s="11"/>
      <c r="T201" s="13"/>
      <c r="V201" s="19" t="s">
        <v>24</v>
      </c>
      <c r="W201" s="11">
        <v>145</v>
      </c>
      <c r="X201" s="14">
        <f t="shared" si="24"/>
        <v>5411.4</v>
      </c>
      <c r="Y201" s="15">
        <v>260</v>
      </c>
      <c r="Z201" s="15">
        <f t="shared" si="25"/>
        <v>9703.2000000000007</v>
      </c>
      <c r="AA201" s="13">
        <f t="shared" si="26"/>
        <v>30602.399999999998</v>
      </c>
    </row>
    <row r="202" spans="1:27" s="16" customFormat="1" x14ac:dyDescent="0.3">
      <c r="A202" s="18">
        <v>201</v>
      </c>
      <c r="B202" s="8">
        <v>46271</v>
      </c>
      <c r="C202" s="8">
        <v>46272</v>
      </c>
      <c r="D202" s="44">
        <v>260907009</v>
      </c>
      <c r="E202" s="22" t="s">
        <v>496</v>
      </c>
      <c r="F202" s="9" t="s">
        <v>497</v>
      </c>
      <c r="G202" s="9">
        <v>38</v>
      </c>
      <c r="H202" s="43">
        <v>24</v>
      </c>
      <c r="I202" s="26" t="s">
        <v>308</v>
      </c>
      <c r="J202" s="27" t="s">
        <v>23</v>
      </c>
      <c r="K202" s="26" t="s">
        <v>30</v>
      </c>
      <c r="L202" s="45" t="s">
        <v>162</v>
      </c>
      <c r="M202" s="9" t="s">
        <v>173</v>
      </c>
      <c r="N202" s="9">
        <v>50.22</v>
      </c>
      <c r="O202" s="9">
        <v>11.72</v>
      </c>
      <c r="P202" s="10">
        <f t="shared" si="23"/>
        <v>38.5</v>
      </c>
      <c r="Q202" s="11">
        <v>415</v>
      </c>
      <c r="R202" s="12">
        <f t="shared" si="27"/>
        <v>15977.5</v>
      </c>
      <c r="S202" s="11"/>
      <c r="T202" s="13"/>
      <c r="V202" s="19" t="s">
        <v>24</v>
      </c>
      <c r="W202" s="11">
        <v>145</v>
      </c>
      <c r="X202" s="14">
        <f t="shared" si="24"/>
        <v>5582.5</v>
      </c>
      <c r="Y202" s="15">
        <v>260</v>
      </c>
      <c r="Z202" s="15">
        <f t="shared" si="25"/>
        <v>10010</v>
      </c>
      <c r="AA202" s="13">
        <f t="shared" si="26"/>
        <v>31570</v>
      </c>
    </row>
    <row r="203" spans="1:27" s="16" customFormat="1" x14ac:dyDescent="0.3">
      <c r="A203" s="18">
        <v>202</v>
      </c>
      <c r="B203" s="8">
        <v>46271</v>
      </c>
      <c r="C203" s="8">
        <v>46272</v>
      </c>
      <c r="D203" s="44">
        <v>260907010</v>
      </c>
      <c r="E203" s="22" t="s">
        <v>498</v>
      </c>
      <c r="F203" s="9" t="s">
        <v>499</v>
      </c>
      <c r="G203" s="9">
        <v>38</v>
      </c>
      <c r="H203" s="43">
        <v>24</v>
      </c>
      <c r="I203" s="26" t="s">
        <v>308</v>
      </c>
      <c r="J203" s="27" t="s">
        <v>23</v>
      </c>
      <c r="K203" s="26" t="s">
        <v>30</v>
      </c>
      <c r="L203" s="45" t="s">
        <v>166</v>
      </c>
      <c r="M203" s="9" t="s">
        <v>173</v>
      </c>
      <c r="N203" s="9">
        <v>50.28</v>
      </c>
      <c r="O203" s="9">
        <v>11.42</v>
      </c>
      <c r="P203" s="10">
        <f t="shared" si="23"/>
        <v>38.86</v>
      </c>
      <c r="Q203" s="11">
        <v>415</v>
      </c>
      <c r="R203" s="12">
        <f t="shared" si="27"/>
        <v>16126.9</v>
      </c>
      <c r="S203" s="11"/>
      <c r="T203" s="13"/>
      <c r="V203" s="19" t="s">
        <v>24</v>
      </c>
      <c r="W203" s="11">
        <v>145</v>
      </c>
      <c r="X203" s="14">
        <f t="shared" si="24"/>
        <v>5634.7</v>
      </c>
      <c r="Y203" s="15">
        <v>260</v>
      </c>
      <c r="Z203" s="15">
        <f t="shared" si="25"/>
        <v>10103.6</v>
      </c>
      <c r="AA203" s="13">
        <f t="shared" si="26"/>
        <v>31865.199999999997</v>
      </c>
    </row>
    <row r="204" spans="1:27" s="16" customFormat="1" x14ac:dyDescent="0.3">
      <c r="A204" s="18">
        <v>203</v>
      </c>
      <c r="B204" s="8">
        <v>46271</v>
      </c>
      <c r="C204" s="8">
        <v>46272</v>
      </c>
      <c r="D204" s="44">
        <v>260907011</v>
      </c>
      <c r="E204" s="22" t="s">
        <v>500</v>
      </c>
      <c r="F204" s="9" t="s">
        <v>501</v>
      </c>
      <c r="G204" s="9">
        <v>47</v>
      </c>
      <c r="H204" s="43">
        <v>42</v>
      </c>
      <c r="I204" s="26" t="s">
        <v>169</v>
      </c>
      <c r="J204" s="27" t="s">
        <v>23</v>
      </c>
      <c r="K204" s="26" t="s">
        <v>30</v>
      </c>
      <c r="L204" s="45" t="s">
        <v>184</v>
      </c>
      <c r="M204" s="9" t="s">
        <v>31</v>
      </c>
      <c r="N204" s="9">
        <v>64.02</v>
      </c>
      <c r="O204" s="9">
        <v>16.559999999999999</v>
      </c>
      <c r="P204" s="10">
        <f t="shared" si="23"/>
        <v>47.459999999999994</v>
      </c>
      <c r="Q204" s="11">
        <v>525</v>
      </c>
      <c r="R204" s="12">
        <f t="shared" si="27"/>
        <v>24916.499999999996</v>
      </c>
      <c r="S204" s="11"/>
      <c r="T204" s="13"/>
      <c r="V204" s="19" t="s">
        <v>24</v>
      </c>
      <c r="W204" s="11">
        <v>145</v>
      </c>
      <c r="X204" s="14">
        <f t="shared" si="24"/>
        <v>6881.6999999999989</v>
      </c>
      <c r="Y204" s="15">
        <v>260</v>
      </c>
      <c r="Z204" s="15">
        <f t="shared" si="25"/>
        <v>12339.599999999999</v>
      </c>
      <c r="AA204" s="13">
        <f t="shared" si="26"/>
        <v>44137.799999999996</v>
      </c>
    </row>
    <row r="205" spans="1:27" s="16" customFormat="1" x14ac:dyDescent="0.3">
      <c r="A205" s="18">
        <v>204</v>
      </c>
      <c r="B205" s="8">
        <v>46271</v>
      </c>
      <c r="C205" s="8">
        <v>46272</v>
      </c>
      <c r="D205" s="44">
        <v>260907012</v>
      </c>
      <c r="E205" s="22" t="s">
        <v>502</v>
      </c>
      <c r="F205" s="9" t="s">
        <v>503</v>
      </c>
      <c r="G205" s="9">
        <v>46</v>
      </c>
      <c r="H205" s="43">
        <v>42</v>
      </c>
      <c r="I205" s="26" t="s">
        <v>169</v>
      </c>
      <c r="J205" s="27" t="s">
        <v>23</v>
      </c>
      <c r="K205" s="26" t="s">
        <v>30</v>
      </c>
      <c r="L205" s="45" t="s">
        <v>205</v>
      </c>
      <c r="M205" s="9" t="s">
        <v>108</v>
      </c>
      <c r="N205" s="9">
        <v>64.34</v>
      </c>
      <c r="O205" s="9">
        <v>17.8</v>
      </c>
      <c r="P205" s="10">
        <f t="shared" si="23"/>
        <v>46.540000000000006</v>
      </c>
      <c r="Q205" s="11">
        <v>340</v>
      </c>
      <c r="R205" s="12">
        <f t="shared" si="27"/>
        <v>15823.600000000002</v>
      </c>
      <c r="S205" s="11"/>
      <c r="T205" s="13"/>
      <c r="V205" s="19" t="s">
        <v>24</v>
      </c>
      <c r="W205" s="11">
        <v>145</v>
      </c>
      <c r="X205" s="14">
        <f t="shared" si="24"/>
        <v>6748.3000000000011</v>
      </c>
      <c r="Y205" s="15">
        <v>260</v>
      </c>
      <c r="Z205" s="15">
        <f t="shared" si="25"/>
        <v>12100.400000000001</v>
      </c>
      <c r="AA205" s="13">
        <f t="shared" si="26"/>
        <v>34672.300000000003</v>
      </c>
    </row>
    <row r="206" spans="1:27" s="16" customFormat="1" x14ac:dyDescent="0.3">
      <c r="A206" s="18">
        <v>205</v>
      </c>
      <c r="B206" s="8">
        <v>46271</v>
      </c>
      <c r="C206" s="8">
        <v>46272</v>
      </c>
      <c r="D206" s="44">
        <v>260907013</v>
      </c>
      <c r="E206" s="22" t="s">
        <v>504</v>
      </c>
      <c r="F206" s="9" t="s">
        <v>505</v>
      </c>
      <c r="G206" s="9">
        <v>37</v>
      </c>
      <c r="H206" s="37">
        <v>140</v>
      </c>
      <c r="I206" s="26" t="s">
        <v>187</v>
      </c>
      <c r="J206" s="6" t="s">
        <v>23</v>
      </c>
      <c r="K206" s="26" t="s">
        <v>30</v>
      </c>
      <c r="L206" s="45" t="s">
        <v>188</v>
      </c>
      <c r="M206" s="9" t="s">
        <v>31</v>
      </c>
      <c r="N206" s="9">
        <v>49.06</v>
      </c>
      <c r="O206" s="9">
        <v>11.62</v>
      </c>
      <c r="P206" s="10">
        <f t="shared" si="23"/>
        <v>37.440000000000005</v>
      </c>
      <c r="Q206" s="11">
        <v>575</v>
      </c>
      <c r="R206" s="12">
        <f t="shared" si="27"/>
        <v>21528.000000000004</v>
      </c>
      <c r="S206" s="11"/>
      <c r="T206" s="13"/>
      <c r="V206" s="19" t="s">
        <v>24</v>
      </c>
      <c r="W206" s="11">
        <v>145</v>
      </c>
      <c r="X206" s="14">
        <f t="shared" si="24"/>
        <v>5428.8000000000011</v>
      </c>
      <c r="Y206" s="15">
        <v>180</v>
      </c>
      <c r="Z206" s="15">
        <f t="shared" si="25"/>
        <v>6739.2000000000007</v>
      </c>
      <c r="AA206" s="13">
        <f t="shared" si="26"/>
        <v>33696</v>
      </c>
    </row>
    <row r="207" spans="1:27" s="16" customFormat="1" x14ac:dyDescent="0.3">
      <c r="A207" s="18">
        <v>206</v>
      </c>
      <c r="B207" s="8">
        <v>46271</v>
      </c>
      <c r="C207" s="8">
        <v>46272</v>
      </c>
      <c r="D207" s="44">
        <v>260907014</v>
      </c>
      <c r="E207" s="22" t="s">
        <v>506</v>
      </c>
      <c r="F207" s="9" t="s">
        <v>507</v>
      </c>
      <c r="G207" s="9">
        <v>46</v>
      </c>
      <c r="H207" s="43">
        <v>42</v>
      </c>
      <c r="I207" s="26" t="s">
        <v>169</v>
      </c>
      <c r="J207" s="27" t="s">
        <v>23</v>
      </c>
      <c r="K207" s="26" t="s">
        <v>30</v>
      </c>
      <c r="L207" s="45" t="s">
        <v>193</v>
      </c>
      <c r="M207" s="9" t="s">
        <v>173</v>
      </c>
      <c r="N207" s="9">
        <v>63.42</v>
      </c>
      <c r="O207" s="9">
        <v>16.78</v>
      </c>
      <c r="P207" s="10">
        <f t="shared" si="23"/>
        <v>46.64</v>
      </c>
      <c r="Q207" s="11">
        <v>470</v>
      </c>
      <c r="R207" s="12">
        <f t="shared" si="27"/>
        <v>21920.799999999999</v>
      </c>
      <c r="S207" s="11"/>
      <c r="T207" s="13"/>
      <c r="V207" s="19" t="s">
        <v>24</v>
      </c>
      <c r="W207" s="11">
        <v>145</v>
      </c>
      <c r="X207" s="14">
        <f t="shared" si="24"/>
        <v>6762.8</v>
      </c>
      <c r="Y207" s="15">
        <v>260</v>
      </c>
      <c r="Z207" s="15">
        <f t="shared" si="25"/>
        <v>12126.4</v>
      </c>
      <c r="AA207" s="13">
        <f t="shared" si="26"/>
        <v>40810</v>
      </c>
    </row>
    <row r="208" spans="1:27" s="16" customFormat="1" x14ac:dyDescent="0.3">
      <c r="A208" s="18">
        <v>207</v>
      </c>
      <c r="B208" s="8">
        <v>46271</v>
      </c>
      <c r="C208" s="8">
        <v>46272</v>
      </c>
      <c r="D208" s="44">
        <v>260907015</v>
      </c>
      <c r="E208" s="22" t="s">
        <v>508</v>
      </c>
      <c r="F208" s="9" t="s">
        <v>509</v>
      </c>
      <c r="G208" s="9">
        <v>49</v>
      </c>
      <c r="H208" s="37">
        <v>131</v>
      </c>
      <c r="I208" s="26" t="s">
        <v>280</v>
      </c>
      <c r="J208" s="36" t="s">
        <v>23</v>
      </c>
      <c r="K208" s="26" t="s">
        <v>30</v>
      </c>
      <c r="L208" s="45" t="s">
        <v>395</v>
      </c>
      <c r="M208" s="9" t="s">
        <v>108</v>
      </c>
      <c r="N208" s="9">
        <v>65.62</v>
      </c>
      <c r="O208" s="9">
        <v>16.12</v>
      </c>
      <c r="P208" s="10">
        <f t="shared" si="23"/>
        <v>49.5</v>
      </c>
      <c r="Q208" s="11">
        <v>285</v>
      </c>
      <c r="R208" s="12">
        <f t="shared" si="27"/>
        <v>14107.5</v>
      </c>
      <c r="S208" s="11"/>
      <c r="T208" s="13"/>
      <c r="V208" s="19" t="s">
        <v>24</v>
      </c>
      <c r="W208" s="11">
        <v>145</v>
      </c>
      <c r="X208" s="14">
        <f t="shared" si="24"/>
        <v>7177.5</v>
      </c>
      <c r="Y208" s="15">
        <v>200</v>
      </c>
      <c r="Z208" s="15">
        <f t="shared" si="25"/>
        <v>9900</v>
      </c>
      <c r="AA208" s="13">
        <f t="shared" si="26"/>
        <v>31185</v>
      </c>
    </row>
    <row r="209" spans="1:40" s="16" customFormat="1" x14ac:dyDescent="0.3">
      <c r="A209" s="18">
        <v>208</v>
      </c>
      <c r="B209" s="8">
        <v>46271</v>
      </c>
      <c r="C209" s="8">
        <v>46272</v>
      </c>
      <c r="D209" s="44">
        <v>260907016</v>
      </c>
      <c r="E209" s="22" t="s">
        <v>510</v>
      </c>
      <c r="F209" s="9" t="s">
        <v>511</v>
      </c>
      <c r="G209" s="9">
        <v>43</v>
      </c>
      <c r="H209" s="43">
        <v>42</v>
      </c>
      <c r="I209" s="26" t="s">
        <v>169</v>
      </c>
      <c r="J209" s="27" t="s">
        <v>23</v>
      </c>
      <c r="K209" s="26" t="s">
        <v>30</v>
      </c>
      <c r="L209" s="45" t="s">
        <v>305</v>
      </c>
      <c r="M209" s="9" t="s">
        <v>173</v>
      </c>
      <c r="N209" s="47">
        <v>58.2</v>
      </c>
      <c r="O209" s="47">
        <v>14.96</v>
      </c>
      <c r="P209" s="10">
        <f t="shared" si="23"/>
        <v>43.24</v>
      </c>
      <c r="Q209" s="11">
        <v>470</v>
      </c>
      <c r="R209" s="12">
        <f t="shared" si="27"/>
        <v>20322.8</v>
      </c>
      <c r="S209" s="11"/>
      <c r="T209" s="13"/>
      <c r="V209" s="19" t="s">
        <v>24</v>
      </c>
      <c r="W209" s="11">
        <v>145</v>
      </c>
      <c r="X209" s="14">
        <f t="shared" si="24"/>
        <v>6269.8</v>
      </c>
      <c r="Y209" s="15">
        <v>260</v>
      </c>
      <c r="Z209" s="15">
        <f t="shared" si="25"/>
        <v>11242.4</v>
      </c>
      <c r="AA209" s="13">
        <f t="shared" si="26"/>
        <v>37835</v>
      </c>
      <c r="AF209"/>
      <c r="AG209"/>
      <c r="AH209"/>
      <c r="AI209"/>
      <c r="AJ209"/>
      <c r="AK209"/>
      <c r="AL209"/>
      <c r="AM209"/>
      <c r="AN209"/>
    </row>
    <row r="210" spans="1:40" s="16" customFormat="1" x14ac:dyDescent="0.3">
      <c r="A210" s="18">
        <v>209</v>
      </c>
      <c r="B210" s="8">
        <v>46271</v>
      </c>
      <c r="C210" s="8">
        <v>46272</v>
      </c>
      <c r="D210" s="44">
        <v>260907017</v>
      </c>
      <c r="E210" s="22" t="s">
        <v>512</v>
      </c>
      <c r="F210" s="9" t="s">
        <v>513</v>
      </c>
      <c r="G210" s="9">
        <v>42</v>
      </c>
      <c r="H210" s="43">
        <v>42</v>
      </c>
      <c r="I210" s="26" t="s">
        <v>169</v>
      </c>
      <c r="J210" s="27" t="s">
        <v>23</v>
      </c>
      <c r="K210" s="26" t="s">
        <v>30</v>
      </c>
      <c r="L210" s="45" t="s">
        <v>324</v>
      </c>
      <c r="M210" s="9" t="s">
        <v>31</v>
      </c>
      <c r="N210" s="47">
        <v>58.1</v>
      </c>
      <c r="O210" s="47">
        <v>15.3</v>
      </c>
      <c r="P210" s="10">
        <f t="shared" si="23"/>
        <v>42.8</v>
      </c>
      <c r="Q210" s="11">
        <v>525</v>
      </c>
      <c r="R210" s="12">
        <f t="shared" si="27"/>
        <v>22470</v>
      </c>
      <c r="S210" s="11"/>
      <c r="T210" s="13"/>
      <c r="V210" s="19" t="s">
        <v>24</v>
      </c>
      <c r="W210" s="11">
        <v>145</v>
      </c>
      <c r="X210" s="14">
        <f t="shared" si="24"/>
        <v>6206</v>
      </c>
      <c r="Y210" s="15">
        <v>260</v>
      </c>
      <c r="Z210" s="15">
        <f t="shared" si="25"/>
        <v>11128</v>
      </c>
      <c r="AA210" s="13">
        <f t="shared" si="26"/>
        <v>39804</v>
      </c>
      <c r="AF210"/>
      <c r="AG210"/>
      <c r="AH210"/>
      <c r="AI210"/>
      <c r="AJ210"/>
      <c r="AK210"/>
      <c r="AL210"/>
      <c r="AM210"/>
      <c r="AN210"/>
    </row>
    <row r="211" spans="1:40" s="16" customFormat="1" x14ac:dyDescent="0.3">
      <c r="A211" s="18">
        <v>210</v>
      </c>
      <c r="B211" s="8">
        <v>46271</v>
      </c>
      <c r="C211" s="8">
        <v>46272</v>
      </c>
      <c r="D211" s="44">
        <v>260907018</v>
      </c>
      <c r="E211" s="22" t="s">
        <v>514</v>
      </c>
      <c r="F211" s="9" t="s">
        <v>515</v>
      </c>
      <c r="G211" s="9">
        <v>45</v>
      </c>
      <c r="H211" s="37">
        <v>131</v>
      </c>
      <c r="I211" s="26" t="s">
        <v>280</v>
      </c>
      <c r="J211" s="36" t="s">
        <v>23</v>
      </c>
      <c r="K211" s="26" t="s">
        <v>30</v>
      </c>
      <c r="L211" s="45" t="s">
        <v>516</v>
      </c>
      <c r="M211" s="9" t="s">
        <v>108</v>
      </c>
      <c r="N211" s="47">
        <v>61.48</v>
      </c>
      <c r="O211" s="47">
        <v>16.399999999999999</v>
      </c>
      <c r="P211" s="10">
        <f t="shared" si="23"/>
        <v>45.08</v>
      </c>
      <c r="Q211" s="11">
        <v>285</v>
      </c>
      <c r="R211" s="12">
        <f t="shared" si="27"/>
        <v>12847.8</v>
      </c>
      <c r="S211" s="11"/>
      <c r="T211" s="13"/>
      <c r="V211" s="19" t="s">
        <v>24</v>
      </c>
      <c r="W211" s="11">
        <v>145</v>
      </c>
      <c r="X211" s="14">
        <f t="shared" si="24"/>
        <v>6536.5999999999995</v>
      </c>
      <c r="Y211" s="15">
        <v>200</v>
      </c>
      <c r="Z211" s="15">
        <f t="shared" si="25"/>
        <v>9016</v>
      </c>
      <c r="AA211" s="13">
        <f t="shared" si="26"/>
        <v>28400.399999999998</v>
      </c>
      <c r="AF211"/>
      <c r="AG211"/>
      <c r="AH211"/>
      <c r="AI211"/>
      <c r="AJ211"/>
      <c r="AK211"/>
      <c r="AL211"/>
      <c r="AM211"/>
      <c r="AN211"/>
    </row>
    <row r="212" spans="1:40" s="16" customFormat="1" x14ac:dyDescent="0.3">
      <c r="A212" s="18">
        <v>211</v>
      </c>
      <c r="B212" s="8">
        <v>46271</v>
      </c>
      <c r="C212" s="8">
        <v>46272</v>
      </c>
      <c r="D212" s="44">
        <v>260907019</v>
      </c>
      <c r="E212" s="22" t="s">
        <v>517</v>
      </c>
      <c r="F212" s="9" t="s">
        <v>518</v>
      </c>
      <c r="G212" s="9">
        <v>43</v>
      </c>
      <c r="H212" s="37">
        <v>140</v>
      </c>
      <c r="I212" s="26" t="s">
        <v>187</v>
      </c>
      <c r="J212" s="6" t="s">
        <v>23</v>
      </c>
      <c r="K212" s="26" t="s">
        <v>30</v>
      </c>
      <c r="L212" s="45" t="s">
        <v>132</v>
      </c>
      <c r="M212" s="9" t="s">
        <v>108</v>
      </c>
      <c r="N212" s="47">
        <v>58.88</v>
      </c>
      <c r="O212" s="47">
        <v>15.56</v>
      </c>
      <c r="P212" s="10">
        <f>N212-O212</f>
        <v>43.32</v>
      </c>
      <c r="Q212" s="11">
        <v>340</v>
      </c>
      <c r="R212" s="12">
        <f t="shared" si="27"/>
        <v>14728.8</v>
      </c>
      <c r="S212" s="11"/>
      <c r="T212" s="13"/>
      <c r="V212" s="19" t="s">
        <v>24</v>
      </c>
      <c r="W212" s="11">
        <v>145</v>
      </c>
      <c r="X212" s="14">
        <f t="shared" si="24"/>
        <v>6281.4</v>
      </c>
      <c r="Y212" s="15">
        <v>180</v>
      </c>
      <c r="Z212" s="15">
        <f t="shared" si="25"/>
        <v>7797.6</v>
      </c>
      <c r="AA212" s="13">
        <f t="shared" si="26"/>
        <v>28807.799999999996</v>
      </c>
      <c r="AF212"/>
      <c r="AG212"/>
      <c r="AH212"/>
      <c r="AI212"/>
      <c r="AJ212"/>
      <c r="AK212"/>
      <c r="AL212"/>
      <c r="AM212"/>
      <c r="AN212"/>
    </row>
    <row r="213" spans="1:40" s="16" customFormat="1" x14ac:dyDescent="0.3">
      <c r="A213" s="18">
        <v>212</v>
      </c>
      <c r="B213" s="8">
        <v>46271</v>
      </c>
      <c r="C213" s="8">
        <v>46272</v>
      </c>
      <c r="D213" s="44">
        <v>260907020</v>
      </c>
      <c r="E213" s="22" t="s">
        <v>519</v>
      </c>
      <c r="F213" s="9" t="s">
        <v>520</v>
      </c>
      <c r="G213" s="9">
        <v>42</v>
      </c>
      <c r="H213" s="43">
        <v>24</v>
      </c>
      <c r="I213" s="26" t="s">
        <v>308</v>
      </c>
      <c r="J213" s="27" t="s">
        <v>23</v>
      </c>
      <c r="K213" s="26" t="s">
        <v>30</v>
      </c>
      <c r="L213" s="45" t="s">
        <v>354</v>
      </c>
      <c r="M213" s="9" t="s">
        <v>173</v>
      </c>
      <c r="N213" s="47">
        <v>54.96</v>
      </c>
      <c r="O213" s="47">
        <v>12.1</v>
      </c>
      <c r="P213" s="10">
        <f>N213-O213</f>
        <v>42.86</v>
      </c>
      <c r="Q213" s="11">
        <v>415</v>
      </c>
      <c r="R213" s="12">
        <f t="shared" si="27"/>
        <v>17786.900000000001</v>
      </c>
      <c r="S213" s="11"/>
      <c r="T213" s="13"/>
      <c r="V213" s="19" t="s">
        <v>24</v>
      </c>
      <c r="W213" s="11">
        <v>145</v>
      </c>
      <c r="X213" s="14">
        <f t="shared" ref="X213" si="28">P213*W213</f>
        <v>6214.7</v>
      </c>
      <c r="Y213" s="15">
        <v>270</v>
      </c>
      <c r="Z213" s="15">
        <f t="shared" ref="Z213" si="29">P213*Y213</f>
        <v>11572.2</v>
      </c>
      <c r="AA213" s="13">
        <f t="shared" ref="AA213" si="30">R213+X213+Z213</f>
        <v>35573.800000000003</v>
      </c>
      <c r="AB213" s="16" t="s">
        <v>1154</v>
      </c>
      <c r="AF213"/>
      <c r="AG213"/>
      <c r="AH213"/>
      <c r="AI213"/>
      <c r="AJ213"/>
      <c r="AK213"/>
      <c r="AL213"/>
      <c r="AM213"/>
      <c r="AN213"/>
    </row>
    <row r="214" spans="1:40" s="16" customFormat="1" x14ac:dyDescent="0.3">
      <c r="A214" s="18">
        <v>213</v>
      </c>
      <c r="B214" s="8">
        <v>46272</v>
      </c>
      <c r="C214" s="8">
        <v>46272</v>
      </c>
      <c r="D214" s="20">
        <v>260907021</v>
      </c>
      <c r="E214" s="22" t="s">
        <v>521</v>
      </c>
      <c r="F214" s="9" t="s">
        <v>522</v>
      </c>
      <c r="G214" s="9"/>
      <c r="H214" s="37">
        <v>136</v>
      </c>
      <c r="I214" s="39" t="s">
        <v>69</v>
      </c>
      <c r="J214" s="36" t="s">
        <v>23</v>
      </c>
      <c r="K214" s="26" t="s">
        <v>30</v>
      </c>
      <c r="L214" s="48" t="s">
        <v>85</v>
      </c>
      <c r="M214" s="9" t="s">
        <v>71</v>
      </c>
      <c r="N214" s="9">
        <v>58.64</v>
      </c>
      <c r="O214" s="9">
        <v>14.38</v>
      </c>
      <c r="P214" s="10">
        <f>N214-O214</f>
        <v>44.26</v>
      </c>
      <c r="Q214" s="11">
        <v>260</v>
      </c>
      <c r="R214" s="12">
        <f t="shared" si="27"/>
        <v>11507.6</v>
      </c>
      <c r="S214" s="11"/>
      <c r="T214" s="13"/>
      <c r="V214" s="19" t="s">
        <v>24</v>
      </c>
      <c r="W214" s="11"/>
      <c r="X214" s="14">
        <f t="shared" ref="X214:X225" si="31">P214*W214</f>
        <v>0</v>
      </c>
      <c r="Y214" s="15">
        <v>115</v>
      </c>
      <c r="Z214" s="15">
        <f t="shared" ref="Z214:Z225" si="32">P214*Y214</f>
        <v>5089.8999999999996</v>
      </c>
      <c r="AA214" s="13">
        <f t="shared" ref="AA214:AA225" si="33">R214+X214+Z214</f>
        <v>16597.5</v>
      </c>
      <c r="AB214" s="29"/>
    </row>
    <row r="215" spans="1:40" s="16" customFormat="1" x14ac:dyDescent="0.3">
      <c r="A215" s="18">
        <v>214</v>
      </c>
      <c r="B215" s="8">
        <v>46272</v>
      </c>
      <c r="C215" s="8">
        <v>46272</v>
      </c>
      <c r="D215" s="20">
        <v>260907022</v>
      </c>
      <c r="E215" s="22" t="s">
        <v>523</v>
      </c>
      <c r="F215" s="9" t="s">
        <v>524</v>
      </c>
      <c r="G215" s="9"/>
      <c r="H215" s="37">
        <v>136</v>
      </c>
      <c r="I215" s="39" t="s">
        <v>69</v>
      </c>
      <c r="J215" s="36" t="s">
        <v>23</v>
      </c>
      <c r="K215" s="26" t="s">
        <v>30</v>
      </c>
      <c r="L215" s="48" t="s">
        <v>82</v>
      </c>
      <c r="M215" s="9" t="s">
        <v>71</v>
      </c>
      <c r="N215" s="9">
        <v>60.26</v>
      </c>
      <c r="O215" s="9">
        <v>15.78</v>
      </c>
      <c r="P215" s="10">
        <f>N215-O215</f>
        <v>44.48</v>
      </c>
      <c r="Q215" s="11">
        <v>260</v>
      </c>
      <c r="R215" s="12">
        <f t="shared" si="27"/>
        <v>11564.8</v>
      </c>
      <c r="S215" s="11"/>
      <c r="T215" s="13"/>
      <c r="V215" s="19" t="s">
        <v>24</v>
      </c>
      <c r="W215" s="11"/>
      <c r="X215" s="14">
        <f t="shared" si="31"/>
        <v>0</v>
      </c>
      <c r="Y215" s="15">
        <v>115</v>
      </c>
      <c r="Z215" s="15">
        <f t="shared" si="32"/>
        <v>5115.2</v>
      </c>
      <c r="AA215" s="13">
        <f t="shared" si="33"/>
        <v>16680</v>
      </c>
    </row>
    <row r="216" spans="1:40" s="28" customFormat="1" x14ac:dyDescent="0.3">
      <c r="A216" s="18">
        <v>215</v>
      </c>
      <c r="B216" s="8">
        <v>46272</v>
      </c>
      <c r="C216" s="8">
        <v>46272</v>
      </c>
      <c r="D216" s="20">
        <v>260907023</v>
      </c>
      <c r="E216" s="22" t="s">
        <v>525</v>
      </c>
      <c r="F216" s="9" t="s">
        <v>526</v>
      </c>
      <c r="G216" s="9"/>
      <c r="H216" s="37">
        <v>136</v>
      </c>
      <c r="I216" s="39" t="s">
        <v>69</v>
      </c>
      <c r="J216" s="36" t="s">
        <v>23</v>
      </c>
      <c r="K216" s="26" t="s">
        <v>30</v>
      </c>
      <c r="L216" s="48" t="s">
        <v>94</v>
      </c>
      <c r="M216" s="9" t="s">
        <v>71</v>
      </c>
      <c r="N216" s="9">
        <v>59.5</v>
      </c>
      <c r="O216" s="9">
        <v>15.14</v>
      </c>
      <c r="P216" s="10">
        <f t="shared" ref="P216:P218" si="34">N216-O216</f>
        <v>44.36</v>
      </c>
      <c r="Q216" s="11">
        <v>260</v>
      </c>
      <c r="R216" s="12">
        <f t="shared" si="27"/>
        <v>11533.6</v>
      </c>
      <c r="S216" s="11"/>
      <c r="T216" s="13"/>
      <c r="V216" s="19" t="s">
        <v>24</v>
      </c>
      <c r="W216" s="11"/>
      <c r="X216" s="14">
        <f t="shared" si="31"/>
        <v>0</v>
      </c>
      <c r="Y216" s="15">
        <v>115</v>
      </c>
      <c r="Z216" s="15">
        <f t="shared" si="32"/>
        <v>5101.3999999999996</v>
      </c>
      <c r="AA216" s="13">
        <f t="shared" si="33"/>
        <v>16635</v>
      </c>
    </row>
    <row r="217" spans="1:40" s="16" customFormat="1" x14ac:dyDescent="0.3">
      <c r="A217" s="18">
        <v>216</v>
      </c>
      <c r="B217" s="8">
        <v>46272</v>
      </c>
      <c r="C217" s="8">
        <v>46272</v>
      </c>
      <c r="D217" s="20">
        <v>260907024</v>
      </c>
      <c r="E217" s="22" t="s">
        <v>527</v>
      </c>
      <c r="F217" s="9" t="s">
        <v>528</v>
      </c>
      <c r="G217" s="9"/>
      <c r="H217" s="37">
        <v>136</v>
      </c>
      <c r="I217" s="39" t="s">
        <v>69</v>
      </c>
      <c r="J217" s="36" t="s">
        <v>23</v>
      </c>
      <c r="K217" s="26" t="s">
        <v>30</v>
      </c>
      <c r="L217" s="48" t="s">
        <v>257</v>
      </c>
      <c r="M217" s="9" t="s">
        <v>71</v>
      </c>
      <c r="N217" s="9">
        <v>50.56</v>
      </c>
      <c r="O217" s="9">
        <v>11.56</v>
      </c>
      <c r="P217" s="10">
        <f t="shared" si="34"/>
        <v>39</v>
      </c>
      <c r="Q217" s="11">
        <v>260</v>
      </c>
      <c r="R217" s="12">
        <f t="shared" si="27"/>
        <v>10140</v>
      </c>
      <c r="S217" s="11"/>
      <c r="T217" s="13"/>
      <c r="V217" s="19" t="s">
        <v>24</v>
      </c>
      <c r="W217" s="11"/>
      <c r="X217" s="14">
        <f t="shared" si="31"/>
        <v>0</v>
      </c>
      <c r="Y217" s="15">
        <v>115</v>
      </c>
      <c r="Z217" s="15">
        <f t="shared" si="32"/>
        <v>4485</v>
      </c>
      <c r="AA217" s="13">
        <f t="shared" si="33"/>
        <v>14625</v>
      </c>
    </row>
    <row r="218" spans="1:40" s="16" customFormat="1" x14ac:dyDescent="0.3">
      <c r="A218" s="18">
        <v>217</v>
      </c>
      <c r="B218" s="8">
        <v>46272</v>
      </c>
      <c r="C218" s="8">
        <v>46272</v>
      </c>
      <c r="D218" s="20">
        <v>260907025</v>
      </c>
      <c r="E218" s="22" t="s">
        <v>529</v>
      </c>
      <c r="F218" s="9" t="s">
        <v>530</v>
      </c>
      <c r="G218" s="9"/>
      <c r="H218" s="37">
        <v>136</v>
      </c>
      <c r="I218" s="39" t="s">
        <v>69</v>
      </c>
      <c r="J218" s="36" t="s">
        <v>23</v>
      </c>
      <c r="K218" s="26" t="s">
        <v>30</v>
      </c>
      <c r="L218" s="9" t="s">
        <v>228</v>
      </c>
      <c r="M218" s="9" t="s">
        <v>71</v>
      </c>
      <c r="N218" s="9">
        <v>49.82</v>
      </c>
      <c r="O218" s="9">
        <v>12.16</v>
      </c>
      <c r="P218" s="10">
        <f t="shared" si="34"/>
        <v>37.659999999999997</v>
      </c>
      <c r="Q218" s="11">
        <v>260</v>
      </c>
      <c r="R218" s="12">
        <f t="shared" si="27"/>
        <v>9791.5999999999985</v>
      </c>
      <c r="S218" s="11"/>
      <c r="T218" s="13"/>
      <c r="V218" s="19" t="s">
        <v>24</v>
      </c>
      <c r="W218" s="11"/>
      <c r="X218" s="14">
        <f t="shared" si="31"/>
        <v>0</v>
      </c>
      <c r="Y218" s="15">
        <v>115</v>
      </c>
      <c r="Z218" s="15">
        <f t="shared" si="32"/>
        <v>4330.8999999999996</v>
      </c>
      <c r="AA218" s="13">
        <f t="shared" si="33"/>
        <v>14122.499999999998</v>
      </c>
    </row>
    <row r="219" spans="1:40" s="16" customFormat="1" x14ac:dyDescent="0.3">
      <c r="A219" s="18">
        <v>218</v>
      </c>
      <c r="B219" s="8">
        <v>46273</v>
      </c>
      <c r="C219" s="8">
        <v>46273</v>
      </c>
      <c r="D219" s="11" t="s">
        <v>531</v>
      </c>
      <c r="E219" s="22"/>
      <c r="F219" s="9"/>
      <c r="G219" s="9"/>
      <c r="H219" s="31"/>
      <c r="I219" s="39" t="s">
        <v>532</v>
      </c>
      <c r="J219" s="36" t="s">
        <v>23</v>
      </c>
      <c r="K219" s="26" t="s">
        <v>297</v>
      </c>
      <c r="L219" s="20" t="s">
        <v>533</v>
      </c>
      <c r="M219" s="9" t="s">
        <v>34</v>
      </c>
      <c r="N219" s="9">
        <v>9.32</v>
      </c>
      <c r="O219" s="9">
        <v>4.68</v>
      </c>
      <c r="P219" s="52">
        <f>N219-O219</f>
        <v>4.6400000000000006</v>
      </c>
      <c r="Q219" s="11">
        <v>150</v>
      </c>
      <c r="R219" s="12">
        <f t="shared" si="27"/>
        <v>696.00000000000011</v>
      </c>
      <c r="S219" s="11">
        <v>700</v>
      </c>
      <c r="T219" s="13"/>
      <c r="V219" s="19" t="s">
        <v>24</v>
      </c>
      <c r="W219" s="11"/>
      <c r="X219" s="14">
        <f t="shared" si="31"/>
        <v>0</v>
      </c>
      <c r="Y219" s="15"/>
      <c r="Z219" s="15">
        <f t="shared" si="32"/>
        <v>0</v>
      </c>
      <c r="AA219" s="13">
        <f t="shared" si="33"/>
        <v>696.00000000000011</v>
      </c>
      <c r="AB219" s="29"/>
    </row>
    <row r="220" spans="1:40" s="16" customFormat="1" x14ac:dyDescent="0.3">
      <c r="A220" s="18">
        <v>219</v>
      </c>
      <c r="B220" s="8">
        <v>46273</v>
      </c>
      <c r="C220" s="8">
        <v>46273</v>
      </c>
      <c r="D220" s="11" t="s">
        <v>534</v>
      </c>
      <c r="E220" s="22"/>
      <c r="F220" s="9"/>
      <c r="G220" s="9"/>
      <c r="H220" s="31"/>
      <c r="I220" s="39" t="s">
        <v>535</v>
      </c>
      <c r="J220" s="36" t="s">
        <v>23</v>
      </c>
      <c r="K220" s="26" t="s">
        <v>297</v>
      </c>
      <c r="L220" s="48" t="s">
        <v>536</v>
      </c>
      <c r="M220" s="9" t="s">
        <v>31</v>
      </c>
      <c r="N220" s="9">
        <v>8.86</v>
      </c>
      <c r="O220" s="9">
        <v>3.44</v>
      </c>
      <c r="P220" s="52">
        <f>N220-O220</f>
        <v>5.42</v>
      </c>
      <c r="Q220" s="11">
        <v>550</v>
      </c>
      <c r="R220" s="12">
        <f t="shared" si="27"/>
        <v>2981</v>
      </c>
      <c r="S220" s="11">
        <v>2980</v>
      </c>
      <c r="T220" s="13"/>
      <c r="V220" s="19" t="s">
        <v>24</v>
      </c>
      <c r="W220" s="11"/>
      <c r="X220" s="14">
        <f t="shared" si="31"/>
        <v>0</v>
      </c>
      <c r="Y220" s="15"/>
      <c r="Z220" s="15">
        <f t="shared" si="32"/>
        <v>0</v>
      </c>
      <c r="AA220" s="13">
        <f t="shared" si="33"/>
        <v>2981</v>
      </c>
    </row>
    <row r="221" spans="1:40" s="28" customFormat="1" x14ac:dyDescent="0.3">
      <c r="A221" s="18">
        <v>220</v>
      </c>
      <c r="B221" s="8">
        <v>46273</v>
      </c>
      <c r="C221" s="8">
        <v>46273</v>
      </c>
      <c r="D221" s="11" t="s">
        <v>537</v>
      </c>
      <c r="E221" s="22"/>
      <c r="F221" s="9"/>
      <c r="G221" s="9"/>
      <c r="H221" s="31"/>
      <c r="I221" s="39" t="s">
        <v>538</v>
      </c>
      <c r="J221" s="36" t="s">
        <v>23</v>
      </c>
      <c r="K221" s="26" t="s">
        <v>297</v>
      </c>
      <c r="L221" s="48" t="s">
        <v>539</v>
      </c>
      <c r="M221" s="9" t="s">
        <v>31</v>
      </c>
      <c r="N221" s="9">
        <v>18.22</v>
      </c>
      <c r="O221" s="9">
        <v>7.82</v>
      </c>
      <c r="P221" s="52">
        <f t="shared" ref="P221:P225" si="35">N221-O221</f>
        <v>10.399999999999999</v>
      </c>
      <c r="Q221" s="11">
        <v>550</v>
      </c>
      <c r="R221" s="12">
        <f t="shared" si="27"/>
        <v>5719.9999999999991</v>
      </c>
      <c r="S221" s="11">
        <v>5720</v>
      </c>
      <c r="T221" s="13"/>
      <c r="V221" s="19" t="s">
        <v>24</v>
      </c>
      <c r="W221" s="11"/>
      <c r="X221" s="14">
        <f t="shared" si="31"/>
        <v>0</v>
      </c>
      <c r="Y221" s="15"/>
      <c r="Z221" s="15">
        <f t="shared" si="32"/>
        <v>0</v>
      </c>
      <c r="AA221" s="13">
        <f t="shared" si="33"/>
        <v>5719.9999999999991</v>
      </c>
    </row>
    <row r="222" spans="1:40" s="16" customFormat="1" x14ac:dyDescent="0.3">
      <c r="A222" s="18">
        <v>221</v>
      </c>
      <c r="B222" s="8">
        <v>46273</v>
      </c>
      <c r="C222" s="8">
        <v>46273</v>
      </c>
      <c r="D222" s="11" t="s">
        <v>540</v>
      </c>
      <c r="E222" s="22"/>
      <c r="F222" s="9"/>
      <c r="G222" s="9"/>
      <c r="H222" s="31"/>
      <c r="I222" s="39" t="s">
        <v>333</v>
      </c>
      <c r="J222" s="36" t="s">
        <v>23</v>
      </c>
      <c r="K222" s="26" t="s">
        <v>30</v>
      </c>
      <c r="L222" s="48" t="s">
        <v>47</v>
      </c>
      <c r="M222" s="9" t="s">
        <v>233</v>
      </c>
      <c r="N222" s="9">
        <v>24.02</v>
      </c>
      <c r="O222" s="9">
        <v>15.2</v>
      </c>
      <c r="P222" s="52">
        <f t="shared" si="35"/>
        <v>8.82</v>
      </c>
      <c r="Q222" s="11">
        <v>0</v>
      </c>
      <c r="R222" s="12">
        <f t="shared" si="27"/>
        <v>0</v>
      </c>
      <c r="S222" s="11"/>
      <c r="T222" s="13"/>
      <c r="V222" s="19" t="s">
        <v>24</v>
      </c>
      <c r="W222" s="11"/>
      <c r="X222" s="14">
        <f t="shared" si="31"/>
        <v>0</v>
      </c>
      <c r="Y222" s="15"/>
      <c r="Z222" s="15">
        <f t="shared" si="32"/>
        <v>0</v>
      </c>
      <c r="AA222" s="13">
        <f t="shared" si="33"/>
        <v>0</v>
      </c>
    </row>
    <row r="223" spans="1:40" s="16" customFormat="1" x14ac:dyDescent="0.3">
      <c r="A223" s="18">
        <v>222</v>
      </c>
      <c r="B223" s="8">
        <v>46273</v>
      </c>
      <c r="C223" s="8">
        <v>46273</v>
      </c>
      <c r="D223" s="11" t="s">
        <v>541</v>
      </c>
      <c r="E223" s="22"/>
      <c r="F223" s="9"/>
      <c r="G223" s="9"/>
      <c r="H223" s="31"/>
      <c r="I223" s="39" t="s">
        <v>542</v>
      </c>
      <c r="J223" s="36" t="s">
        <v>23</v>
      </c>
      <c r="K223" s="26" t="s">
        <v>297</v>
      </c>
      <c r="L223" s="9" t="s">
        <v>543</v>
      </c>
      <c r="M223" s="9" t="s">
        <v>31</v>
      </c>
      <c r="N223" s="9">
        <v>18.3</v>
      </c>
      <c r="O223" s="9">
        <v>6.9</v>
      </c>
      <c r="P223" s="52">
        <f t="shared" si="35"/>
        <v>11.4</v>
      </c>
      <c r="Q223" s="11">
        <v>550</v>
      </c>
      <c r="R223" s="12">
        <f t="shared" si="27"/>
        <v>6270</v>
      </c>
      <c r="S223" s="11">
        <v>6270</v>
      </c>
      <c r="T223" s="13"/>
      <c r="V223" s="19" t="s">
        <v>24</v>
      </c>
      <c r="W223" s="11"/>
      <c r="X223" s="14">
        <f t="shared" si="31"/>
        <v>0</v>
      </c>
      <c r="Y223" s="15"/>
      <c r="Z223" s="15">
        <f t="shared" si="32"/>
        <v>0</v>
      </c>
      <c r="AA223" s="13">
        <f t="shared" si="33"/>
        <v>6270</v>
      </c>
    </row>
    <row r="224" spans="1:40" s="28" customFormat="1" x14ac:dyDescent="0.3">
      <c r="A224" s="18">
        <v>223</v>
      </c>
      <c r="B224" s="8">
        <v>46273</v>
      </c>
      <c r="C224" s="8">
        <v>46273</v>
      </c>
      <c r="D224" s="11">
        <v>260908001</v>
      </c>
      <c r="E224" s="22" t="s">
        <v>544</v>
      </c>
      <c r="F224" s="9" t="s">
        <v>545</v>
      </c>
      <c r="G224" s="9">
        <v>22</v>
      </c>
      <c r="H224" s="43">
        <v>18</v>
      </c>
      <c r="I224" s="26" t="s">
        <v>140</v>
      </c>
      <c r="J224" s="27" t="s">
        <v>23</v>
      </c>
      <c r="K224" s="26" t="s">
        <v>30</v>
      </c>
      <c r="L224" s="48" t="s">
        <v>141</v>
      </c>
      <c r="M224" s="9" t="s">
        <v>108</v>
      </c>
      <c r="N224" s="9">
        <v>36.935000000000002</v>
      </c>
      <c r="O224" s="9">
        <v>14.24</v>
      </c>
      <c r="P224" s="52">
        <f t="shared" si="35"/>
        <v>22.695</v>
      </c>
      <c r="Q224" s="11">
        <v>420</v>
      </c>
      <c r="R224" s="12">
        <f t="shared" si="27"/>
        <v>9531.9</v>
      </c>
      <c r="S224" s="11"/>
      <c r="T224" s="13"/>
      <c r="V224" s="19" t="s">
        <v>546</v>
      </c>
      <c r="W224" s="11">
        <v>145</v>
      </c>
      <c r="X224" s="14">
        <f t="shared" si="31"/>
        <v>3290.7750000000001</v>
      </c>
      <c r="Y224" s="15"/>
      <c r="Z224" s="15">
        <f t="shared" si="32"/>
        <v>0</v>
      </c>
      <c r="AA224" s="13">
        <f t="shared" si="33"/>
        <v>12822.674999999999</v>
      </c>
    </row>
    <row r="225" spans="1:28" s="16" customFormat="1" x14ac:dyDescent="0.3">
      <c r="A225" s="18">
        <v>224</v>
      </c>
      <c r="B225" s="8">
        <v>46273</v>
      </c>
      <c r="C225" s="8">
        <v>46274</v>
      </c>
      <c r="D225" s="20" t="s">
        <v>547</v>
      </c>
      <c r="E225" s="22"/>
      <c r="F225" s="9"/>
      <c r="G225" s="9"/>
      <c r="H225" s="31"/>
      <c r="I225" s="39" t="s">
        <v>333</v>
      </c>
      <c r="J225" s="36" t="s">
        <v>23</v>
      </c>
      <c r="K225" s="26" t="s">
        <v>30</v>
      </c>
      <c r="L225" s="48" t="s">
        <v>36</v>
      </c>
      <c r="M225" s="9" t="s">
        <v>233</v>
      </c>
      <c r="N225" s="9">
        <v>24.08</v>
      </c>
      <c r="O225" s="9">
        <v>14.38</v>
      </c>
      <c r="P225" s="52">
        <f t="shared" si="35"/>
        <v>9.6999999999999975</v>
      </c>
      <c r="Q225" s="11">
        <v>0</v>
      </c>
      <c r="R225" s="12">
        <f t="shared" si="27"/>
        <v>0</v>
      </c>
      <c r="S225" s="11"/>
      <c r="T225" s="13"/>
      <c r="V225" s="19" t="s">
        <v>24</v>
      </c>
      <c r="W225" s="11"/>
      <c r="X225" s="14">
        <f t="shared" si="31"/>
        <v>0</v>
      </c>
      <c r="Y225" s="15"/>
      <c r="Z225" s="15">
        <f t="shared" si="32"/>
        <v>0</v>
      </c>
      <c r="AA225" s="13">
        <f t="shared" si="33"/>
        <v>0</v>
      </c>
    </row>
    <row r="226" spans="1:28" s="16" customFormat="1" x14ac:dyDescent="0.3">
      <c r="A226" s="18">
        <v>225</v>
      </c>
      <c r="B226" s="8">
        <v>46275</v>
      </c>
      <c r="C226" s="8">
        <v>46275</v>
      </c>
      <c r="D226" s="9" t="s">
        <v>548</v>
      </c>
      <c r="E226" s="22"/>
      <c r="F226" s="9"/>
      <c r="G226" s="9"/>
      <c r="H226" s="31"/>
      <c r="I226" s="54" t="s">
        <v>535</v>
      </c>
      <c r="J226" s="53" t="s">
        <v>23</v>
      </c>
      <c r="K226" s="31" t="s">
        <v>297</v>
      </c>
      <c r="L226" s="48" t="s">
        <v>549</v>
      </c>
      <c r="M226" s="9" t="s">
        <v>31</v>
      </c>
      <c r="N226" s="9">
        <v>8.64</v>
      </c>
      <c r="O226" s="9">
        <v>3.42</v>
      </c>
      <c r="P226" s="52">
        <f>N226-O226</f>
        <v>5.2200000000000006</v>
      </c>
      <c r="Q226" s="11">
        <v>550</v>
      </c>
      <c r="R226" s="12">
        <f t="shared" si="27"/>
        <v>2871.0000000000005</v>
      </c>
      <c r="S226" s="11">
        <v>2871</v>
      </c>
      <c r="T226" s="13"/>
      <c r="V226" s="19" t="s">
        <v>24</v>
      </c>
      <c r="W226" s="11"/>
      <c r="X226" s="14">
        <f t="shared" ref="X226:X236" si="36">P226*W226</f>
        <v>0</v>
      </c>
      <c r="Y226" s="15"/>
      <c r="Z226" s="15">
        <f t="shared" ref="Z226:Z236" si="37">P226*Y226</f>
        <v>0</v>
      </c>
      <c r="AA226" s="13">
        <f t="shared" ref="AA226:AA236" si="38">R226+X226+Z226</f>
        <v>2871.0000000000005</v>
      </c>
      <c r="AB226" s="29"/>
    </row>
    <row r="227" spans="1:28" s="16" customFormat="1" x14ac:dyDescent="0.3">
      <c r="A227" s="18">
        <v>226</v>
      </c>
      <c r="B227" s="8">
        <v>46275</v>
      </c>
      <c r="C227" s="8">
        <v>46275</v>
      </c>
      <c r="D227" s="9" t="s">
        <v>550</v>
      </c>
      <c r="E227" s="22"/>
      <c r="F227" s="9"/>
      <c r="G227" s="9"/>
      <c r="H227" s="31"/>
      <c r="I227" s="54" t="s">
        <v>551</v>
      </c>
      <c r="J227" s="53" t="s">
        <v>23</v>
      </c>
      <c r="K227" s="31" t="s">
        <v>30</v>
      </c>
      <c r="L227" s="48" t="s">
        <v>552</v>
      </c>
      <c r="M227" s="9" t="s">
        <v>31</v>
      </c>
      <c r="N227" s="9">
        <v>42.68</v>
      </c>
      <c r="O227" s="9">
        <v>12.04</v>
      </c>
      <c r="P227" s="52">
        <f>N227-O227</f>
        <v>30.64</v>
      </c>
      <c r="Q227" s="11">
        <v>530</v>
      </c>
      <c r="R227" s="12">
        <f t="shared" si="27"/>
        <v>16239.2</v>
      </c>
      <c r="S227" s="11"/>
      <c r="T227" s="13"/>
      <c r="V227" s="19" t="s">
        <v>54</v>
      </c>
      <c r="W227" s="11"/>
      <c r="X227" s="14">
        <f t="shared" si="36"/>
        <v>0</v>
      </c>
      <c r="Y227" s="15"/>
      <c r="Z227" s="15">
        <f t="shared" si="37"/>
        <v>0</v>
      </c>
      <c r="AA227" s="13">
        <f t="shared" si="38"/>
        <v>16239.2</v>
      </c>
    </row>
    <row r="228" spans="1:28" s="28" customFormat="1" x14ac:dyDescent="0.3">
      <c r="A228" s="18">
        <v>227</v>
      </c>
      <c r="B228" s="8">
        <v>46275</v>
      </c>
      <c r="C228" s="8">
        <v>46276</v>
      </c>
      <c r="D228" s="9" t="s">
        <v>553</v>
      </c>
      <c r="E228" s="22"/>
      <c r="F228" s="9"/>
      <c r="G228" s="9"/>
      <c r="H228" s="31"/>
      <c r="I228" s="54" t="s">
        <v>554</v>
      </c>
      <c r="J228" s="53" t="s">
        <v>23</v>
      </c>
      <c r="K228" s="31" t="s">
        <v>30</v>
      </c>
      <c r="L228" s="48" t="s">
        <v>379</v>
      </c>
      <c r="M228" s="9" t="s">
        <v>31</v>
      </c>
      <c r="N228" s="9">
        <v>20.14</v>
      </c>
      <c r="O228" s="9">
        <v>7.26</v>
      </c>
      <c r="P228" s="52">
        <f t="shared" ref="P228:P236" si="39">N228-O228</f>
        <v>12.88</v>
      </c>
      <c r="Q228" s="11">
        <v>550</v>
      </c>
      <c r="R228" s="12">
        <f t="shared" si="27"/>
        <v>7084</v>
      </c>
      <c r="S228" s="11"/>
      <c r="T228" s="13"/>
      <c r="V228" s="19" t="s">
        <v>555</v>
      </c>
      <c r="W228" s="11"/>
      <c r="X228" s="14">
        <f t="shared" si="36"/>
        <v>0</v>
      </c>
      <c r="Y228" s="15"/>
      <c r="Z228" s="15">
        <f t="shared" si="37"/>
        <v>0</v>
      </c>
      <c r="AA228" s="13">
        <f t="shared" si="38"/>
        <v>7084</v>
      </c>
    </row>
    <row r="229" spans="1:28" s="16" customFormat="1" x14ac:dyDescent="0.3">
      <c r="A229" s="18">
        <v>228</v>
      </c>
      <c r="B229" s="8">
        <v>46275</v>
      </c>
      <c r="C229" s="8">
        <v>46276</v>
      </c>
      <c r="D229" s="9">
        <v>260911001</v>
      </c>
      <c r="E229" s="22" t="s">
        <v>556</v>
      </c>
      <c r="F229" s="9" t="s">
        <v>557</v>
      </c>
      <c r="G229" s="9">
        <v>47</v>
      </c>
      <c r="H229" s="37">
        <v>140</v>
      </c>
      <c r="I229" s="26" t="s">
        <v>187</v>
      </c>
      <c r="J229" s="6" t="s">
        <v>23</v>
      </c>
      <c r="K229" s="26" t="s">
        <v>30</v>
      </c>
      <c r="L229" s="48" t="s">
        <v>193</v>
      </c>
      <c r="M229" s="9" t="s">
        <v>31</v>
      </c>
      <c r="N229" s="9">
        <v>63.8</v>
      </c>
      <c r="O229" s="9">
        <v>16.8</v>
      </c>
      <c r="P229" s="52">
        <f t="shared" si="39"/>
        <v>47</v>
      </c>
      <c r="Q229" s="11">
        <v>575</v>
      </c>
      <c r="R229" s="12">
        <f t="shared" si="27"/>
        <v>27025</v>
      </c>
      <c r="S229" s="11"/>
      <c r="T229" s="13"/>
      <c r="V229" s="19" t="s">
        <v>24</v>
      </c>
      <c r="W229" s="11">
        <v>145</v>
      </c>
      <c r="X229" s="14">
        <f t="shared" si="36"/>
        <v>6815</v>
      </c>
      <c r="Y229" s="15">
        <v>180</v>
      </c>
      <c r="Z229" s="15">
        <f t="shared" si="37"/>
        <v>8460</v>
      </c>
      <c r="AA229" s="13">
        <f t="shared" si="38"/>
        <v>42300</v>
      </c>
    </row>
    <row r="230" spans="1:28" s="16" customFormat="1" x14ac:dyDescent="0.3">
      <c r="A230" s="18">
        <v>229</v>
      </c>
      <c r="B230" s="8">
        <v>46275</v>
      </c>
      <c r="C230" s="8">
        <v>46276</v>
      </c>
      <c r="D230" s="9">
        <v>260911002</v>
      </c>
      <c r="E230" s="22" t="s">
        <v>558</v>
      </c>
      <c r="F230" s="9" t="s">
        <v>559</v>
      </c>
      <c r="G230" s="9">
        <v>42</v>
      </c>
      <c r="H230" s="37">
        <v>140</v>
      </c>
      <c r="I230" s="26" t="s">
        <v>187</v>
      </c>
      <c r="J230" s="6" t="s">
        <v>23</v>
      </c>
      <c r="K230" s="26" t="s">
        <v>30</v>
      </c>
      <c r="L230" s="9" t="s">
        <v>516</v>
      </c>
      <c r="M230" s="9" t="s">
        <v>108</v>
      </c>
      <c r="N230" s="9">
        <v>59.3</v>
      </c>
      <c r="O230" s="9">
        <v>16.899999999999999</v>
      </c>
      <c r="P230" s="52">
        <f t="shared" si="39"/>
        <v>42.4</v>
      </c>
      <c r="Q230" s="11">
        <v>340</v>
      </c>
      <c r="R230" s="12">
        <f t="shared" si="27"/>
        <v>14416</v>
      </c>
      <c r="S230" s="11"/>
      <c r="T230" s="13"/>
      <c r="V230" s="19" t="s">
        <v>24</v>
      </c>
      <c r="W230" s="11">
        <v>145</v>
      </c>
      <c r="X230" s="14">
        <f t="shared" si="36"/>
        <v>6148</v>
      </c>
      <c r="Y230" s="15">
        <v>180</v>
      </c>
      <c r="Z230" s="15">
        <f t="shared" si="37"/>
        <v>7632</v>
      </c>
      <c r="AA230" s="13">
        <f t="shared" si="38"/>
        <v>28196</v>
      </c>
    </row>
    <row r="231" spans="1:28" s="28" customFormat="1" x14ac:dyDescent="0.3">
      <c r="A231" s="18">
        <v>230</v>
      </c>
      <c r="B231" s="8">
        <v>46275</v>
      </c>
      <c r="C231" s="8">
        <v>46276</v>
      </c>
      <c r="D231" s="9">
        <v>260911003</v>
      </c>
      <c r="E231" s="22" t="s">
        <v>560</v>
      </c>
      <c r="F231" s="9" t="s">
        <v>561</v>
      </c>
      <c r="G231" s="9">
        <v>40</v>
      </c>
      <c r="H231" s="37">
        <v>140</v>
      </c>
      <c r="I231" s="26" t="s">
        <v>187</v>
      </c>
      <c r="J231" s="6" t="s">
        <v>23</v>
      </c>
      <c r="K231" s="26" t="s">
        <v>30</v>
      </c>
      <c r="L231" s="48" t="s">
        <v>319</v>
      </c>
      <c r="M231" s="9" t="s">
        <v>31</v>
      </c>
      <c r="N231" s="9">
        <v>56.92</v>
      </c>
      <c r="O231" s="9">
        <v>16.04</v>
      </c>
      <c r="P231" s="52">
        <f t="shared" si="39"/>
        <v>40.880000000000003</v>
      </c>
      <c r="Q231" s="11">
        <v>575</v>
      </c>
      <c r="R231" s="12">
        <f t="shared" si="27"/>
        <v>23506</v>
      </c>
      <c r="S231" s="11"/>
      <c r="T231" s="13"/>
      <c r="V231" s="19" t="s">
        <v>24</v>
      </c>
      <c r="W231" s="11">
        <v>145</v>
      </c>
      <c r="X231" s="14">
        <f t="shared" si="36"/>
        <v>5927.6</v>
      </c>
      <c r="Y231" s="15">
        <v>180</v>
      </c>
      <c r="Z231" s="15">
        <f t="shared" si="37"/>
        <v>7358.4000000000005</v>
      </c>
      <c r="AA231" s="13">
        <f t="shared" si="38"/>
        <v>36792</v>
      </c>
    </row>
    <row r="232" spans="1:28" s="16" customFormat="1" x14ac:dyDescent="0.3">
      <c r="A232" s="18">
        <v>231</v>
      </c>
      <c r="B232" s="8">
        <v>46275</v>
      </c>
      <c r="C232" s="8">
        <v>46276</v>
      </c>
      <c r="D232" s="9">
        <v>260911004</v>
      </c>
      <c r="E232" s="22" t="s">
        <v>562</v>
      </c>
      <c r="F232" s="9" t="s">
        <v>563</v>
      </c>
      <c r="G232" s="9">
        <v>38</v>
      </c>
      <c r="H232" s="43">
        <v>24</v>
      </c>
      <c r="I232" s="26" t="s">
        <v>308</v>
      </c>
      <c r="J232" s="27" t="s">
        <v>23</v>
      </c>
      <c r="K232" s="26" t="s">
        <v>30</v>
      </c>
      <c r="L232" s="48" t="s">
        <v>104</v>
      </c>
      <c r="M232" s="9" t="s">
        <v>173</v>
      </c>
      <c r="N232" s="9">
        <v>49.98</v>
      </c>
      <c r="O232" s="9">
        <v>11.82</v>
      </c>
      <c r="P232" s="52">
        <f t="shared" si="39"/>
        <v>38.159999999999997</v>
      </c>
      <c r="Q232" s="11">
        <v>415</v>
      </c>
      <c r="R232" s="12">
        <f t="shared" si="27"/>
        <v>15836.399999999998</v>
      </c>
      <c r="S232" s="11"/>
      <c r="T232" s="13"/>
      <c r="V232" s="19" t="s">
        <v>24</v>
      </c>
      <c r="W232" s="11">
        <v>145</v>
      </c>
      <c r="X232" s="14">
        <f t="shared" si="36"/>
        <v>5533.2</v>
      </c>
      <c r="Y232" s="15">
        <v>260</v>
      </c>
      <c r="Z232" s="15">
        <f t="shared" si="37"/>
        <v>9921.5999999999985</v>
      </c>
      <c r="AA232" s="13">
        <f t="shared" si="38"/>
        <v>31291.199999999997</v>
      </c>
    </row>
    <row r="233" spans="1:28" s="16" customFormat="1" x14ac:dyDescent="0.3">
      <c r="A233" s="18">
        <v>232</v>
      </c>
      <c r="B233" s="8">
        <v>46275</v>
      </c>
      <c r="C233" s="8">
        <v>46276</v>
      </c>
      <c r="D233" s="9">
        <v>260911005</v>
      </c>
      <c r="E233" s="22" t="s">
        <v>564</v>
      </c>
      <c r="F233" s="9" t="s">
        <v>565</v>
      </c>
      <c r="G233" s="9">
        <v>39</v>
      </c>
      <c r="H233" s="43">
        <v>24</v>
      </c>
      <c r="I233" s="26" t="s">
        <v>308</v>
      </c>
      <c r="J233" s="27" t="s">
        <v>23</v>
      </c>
      <c r="K233" s="26" t="s">
        <v>30</v>
      </c>
      <c r="L233" s="48" t="s">
        <v>166</v>
      </c>
      <c r="M233" s="9" t="s">
        <v>173</v>
      </c>
      <c r="N233" s="9">
        <v>51.02</v>
      </c>
      <c r="O233" s="9">
        <v>11.54</v>
      </c>
      <c r="P233" s="52">
        <f t="shared" si="39"/>
        <v>39.480000000000004</v>
      </c>
      <c r="Q233" s="11">
        <v>415</v>
      </c>
      <c r="R233" s="12">
        <f t="shared" si="27"/>
        <v>16384.2</v>
      </c>
      <c r="S233" s="11"/>
      <c r="T233" s="13"/>
      <c r="V233" s="19" t="s">
        <v>24</v>
      </c>
      <c r="W233" s="11">
        <v>145</v>
      </c>
      <c r="X233" s="14">
        <f t="shared" si="36"/>
        <v>5724.6</v>
      </c>
      <c r="Y233" s="15">
        <v>260</v>
      </c>
      <c r="Z233" s="15">
        <f t="shared" si="37"/>
        <v>10264.800000000001</v>
      </c>
      <c r="AA233" s="13">
        <f t="shared" si="38"/>
        <v>32373.600000000006</v>
      </c>
    </row>
    <row r="234" spans="1:28" s="16" customFormat="1" x14ac:dyDescent="0.3">
      <c r="A234" s="18">
        <v>233</v>
      </c>
      <c r="B234" s="8">
        <v>46275</v>
      </c>
      <c r="C234" s="8">
        <v>46276</v>
      </c>
      <c r="D234" s="9">
        <v>260911006</v>
      </c>
      <c r="E234" s="22" t="s">
        <v>566</v>
      </c>
      <c r="F234" s="9" t="s">
        <v>567</v>
      </c>
      <c r="G234" s="9">
        <v>45</v>
      </c>
      <c r="H234" s="37">
        <v>140</v>
      </c>
      <c r="I234" s="26" t="s">
        <v>187</v>
      </c>
      <c r="J234" s="6" t="s">
        <v>23</v>
      </c>
      <c r="K234" s="26" t="s">
        <v>30</v>
      </c>
      <c r="L234" s="48" t="s">
        <v>395</v>
      </c>
      <c r="M234" s="9" t="s">
        <v>108</v>
      </c>
      <c r="N234" s="9">
        <v>62.2</v>
      </c>
      <c r="O234" s="9">
        <v>16.239999999999998</v>
      </c>
      <c r="P234" s="52">
        <f t="shared" si="39"/>
        <v>45.960000000000008</v>
      </c>
      <c r="Q234" s="11">
        <v>340</v>
      </c>
      <c r="R234" s="12">
        <f t="shared" si="27"/>
        <v>15626.400000000003</v>
      </c>
      <c r="S234" s="11"/>
      <c r="T234" s="13"/>
      <c r="V234" s="19" t="s">
        <v>24</v>
      </c>
      <c r="W234" s="11">
        <v>145</v>
      </c>
      <c r="X234" s="14">
        <f t="shared" si="36"/>
        <v>6664.2000000000007</v>
      </c>
      <c r="Y234" s="15">
        <v>180</v>
      </c>
      <c r="Z234" s="15">
        <f t="shared" si="37"/>
        <v>8272.8000000000011</v>
      </c>
      <c r="AA234" s="13">
        <f t="shared" si="38"/>
        <v>30563.400000000009</v>
      </c>
    </row>
    <row r="235" spans="1:28" s="16" customFormat="1" x14ac:dyDescent="0.3">
      <c r="A235" s="18">
        <v>234</v>
      </c>
      <c r="B235" s="8">
        <v>46275</v>
      </c>
      <c r="C235" s="8">
        <v>46276</v>
      </c>
      <c r="D235" s="9">
        <v>260911007</v>
      </c>
      <c r="E235" s="22" t="s">
        <v>568</v>
      </c>
      <c r="F235" s="9" t="s">
        <v>569</v>
      </c>
      <c r="G235" s="9">
        <v>41</v>
      </c>
      <c r="H235" s="43">
        <v>24</v>
      </c>
      <c r="I235" s="26" t="s">
        <v>308</v>
      </c>
      <c r="J235" s="27" t="s">
        <v>23</v>
      </c>
      <c r="K235" s="26" t="s">
        <v>30</v>
      </c>
      <c r="L235" s="48" t="s">
        <v>386</v>
      </c>
      <c r="M235" s="9" t="s">
        <v>173</v>
      </c>
      <c r="N235" s="9">
        <v>53.58</v>
      </c>
      <c r="O235" s="9">
        <v>12</v>
      </c>
      <c r="P235" s="52">
        <f>N235-O235</f>
        <v>41.58</v>
      </c>
      <c r="Q235" s="11">
        <v>415</v>
      </c>
      <c r="R235" s="12">
        <f t="shared" si="27"/>
        <v>17255.7</v>
      </c>
      <c r="S235" s="11"/>
      <c r="T235" s="13"/>
      <c r="V235" s="19" t="s">
        <v>24</v>
      </c>
      <c r="W235" s="11">
        <v>145</v>
      </c>
      <c r="X235" s="14">
        <f t="shared" si="36"/>
        <v>6029.0999999999995</v>
      </c>
      <c r="Y235" s="15">
        <v>260</v>
      </c>
      <c r="Z235" s="15">
        <f t="shared" si="37"/>
        <v>10810.8</v>
      </c>
      <c r="AA235" s="13">
        <f t="shared" si="38"/>
        <v>34095.599999999999</v>
      </c>
    </row>
    <row r="236" spans="1:28" s="16" customFormat="1" x14ac:dyDescent="0.3">
      <c r="A236" s="18">
        <v>235</v>
      </c>
      <c r="B236" s="8">
        <v>46275</v>
      </c>
      <c r="C236" s="8">
        <v>46276</v>
      </c>
      <c r="D236" s="9">
        <v>260911008</v>
      </c>
      <c r="E236" s="22" t="s">
        <v>570</v>
      </c>
      <c r="F236" s="9" t="s">
        <v>571</v>
      </c>
      <c r="G236" s="9">
        <v>45</v>
      </c>
      <c r="H236" s="43">
        <v>24</v>
      </c>
      <c r="I236" s="26" t="s">
        <v>308</v>
      </c>
      <c r="J236" s="27" t="s">
        <v>23</v>
      </c>
      <c r="K236" s="26" t="s">
        <v>30</v>
      </c>
      <c r="L236" s="48" t="s">
        <v>70</v>
      </c>
      <c r="M236" s="9" t="s">
        <v>173</v>
      </c>
      <c r="N236" s="9">
        <v>61.6</v>
      </c>
      <c r="O236" s="9">
        <v>15.74</v>
      </c>
      <c r="P236" s="52">
        <f t="shared" si="39"/>
        <v>45.86</v>
      </c>
      <c r="Q236" s="11">
        <v>415</v>
      </c>
      <c r="R236" s="12">
        <f t="shared" si="27"/>
        <v>19031.900000000001</v>
      </c>
      <c r="S236" s="11"/>
      <c r="T236" s="13"/>
      <c r="V236" s="19" t="s">
        <v>24</v>
      </c>
      <c r="W236" s="11">
        <v>145</v>
      </c>
      <c r="X236" s="14">
        <f t="shared" si="36"/>
        <v>6649.7</v>
      </c>
      <c r="Y236" s="15">
        <v>260</v>
      </c>
      <c r="Z236" s="15">
        <f t="shared" si="37"/>
        <v>11923.6</v>
      </c>
      <c r="AA236" s="13">
        <f t="shared" si="38"/>
        <v>37605.200000000004</v>
      </c>
    </row>
    <row r="237" spans="1:28" s="16" customFormat="1" x14ac:dyDescent="0.3">
      <c r="A237" s="18">
        <v>236</v>
      </c>
      <c r="B237" s="8">
        <v>46276</v>
      </c>
      <c r="C237" s="8">
        <v>46276</v>
      </c>
      <c r="D237" s="44">
        <v>260911009</v>
      </c>
      <c r="E237" s="22" t="s">
        <v>572</v>
      </c>
      <c r="F237" s="9" t="s">
        <v>573</v>
      </c>
      <c r="G237" s="9">
        <v>42</v>
      </c>
      <c r="H237" s="37">
        <v>131</v>
      </c>
      <c r="I237" s="26" t="s">
        <v>280</v>
      </c>
      <c r="J237" s="36" t="s">
        <v>23</v>
      </c>
      <c r="K237" s="26" t="s">
        <v>30</v>
      </c>
      <c r="L237" s="48" t="s">
        <v>170</v>
      </c>
      <c r="M237" s="9" t="s">
        <v>31</v>
      </c>
      <c r="N237" s="9">
        <v>57.42</v>
      </c>
      <c r="O237" s="9">
        <v>14.94</v>
      </c>
      <c r="P237" s="52">
        <f>N237-O237</f>
        <v>42.480000000000004</v>
      </c>
      <c r="Q237" s="11">
        <v>535</v>
      </c>
      <c r="R237" s="12">
        <f t="shared" si="27"/>
        <v>22726.800000000003</v>
      </c>
      <c r="S237" s="11"/>
      <c r="T237" s="13"/>
      <c r="V237" s="19" t="s">
        <v>24</v>
      </c>
      <c r="W237" s="11">
        <v>145</v>
      </c>
      <c r="X237" s="14">
        <f t="shared" ref="X237:X270" si="40">P237*W237</f>
        <v>6159.6</v>
      </c>
      <c r="Y237" s="15">
        <v>200</v>
      </c>
      <c r="Z237" s="15">
        <f t="shared" ref="Z237:Z270" si="41">P237*Y237</f>
        <v>8496</v>
      </c>
      <c r="AA237" s="13">
        <f t="shared" ref="AA237:AA270" si="42">R237+X237+Z237</f>
        <v>37382.400000000001</v>
      </c>
      <c r="AB237" s="29"/>
    </row>
    <row r="238" spans="1:28" s="16" customFormat="1" x14ac:dyDescent="0.3">
      <c r="A238" s="18">
        <v>237</v>
      </c>
      <c r="B238" s="8">
        <v>46276</v>
      </c>
      <c r="C238" s="8">
        <v>46276</v>
      </c>
      <c r="D238" s="44">
        <v>260911010</v>
      </c>
      <c r="E238" s="22" t="s">
        <v>574</v>
      </c>
      <c r="F238" s="9" t="s">
        <v>575</v>
      </c>
      <c r="G238" s="9">
        <v>40</v>
      </c>
      <c r="H238" s="37">
        <v>131</v>
      </c>
      <c r="I238" s="26" t="s">
        <v>280</v>
      </c>
      <c r="J238" s="36" t="s">
        <v>23</v>
      </c>
      <c r="K238" s="26" t="s">
        <v>30</v>
      </c>
      <c r="L238" s="48" t="s">
        <v>123</v>
      </c>
      <c r="M238" s="9" t="s">
        <v>108</v>
      </c>
      <c r="N238" s="9">
        <v>56.44</v>
      </c>
      <c r="O238" s="9">
        <v>16.04</v>
      </c>
      <c r="P238" s="52">
        <f>N238-O238</f>
        <v>40.4</v>
      </c>
      <c r="Q238" s="11">
        <v>285</v>
      </c>
      <c r="R238" s="12">
        <f t="shared" si="27"/>
        <v>11514</v>
      </c>
      <c r="S238" s="11"/>
      <c r="T238" s="13"/>
      <c r="V238" s="19" t="s">
        <v>24</v>
      </c>
      <c r="W238" s="11">
        <v>145</v>
      </c>
      <c r="X238" s="14">
        <f t="shared" si="40"/>
        <v>5858</v>
      </c>
      <c r="Y238" s="15">
        <v>200</v>
      </c>
      <c r="Z238" s="15">
        <f t="shared" si="41"/>
        <v>8080</v>
      </c>
      <c r="AA238" s="13">
        <f t="shared" si="42"/>
        <v>25452</v>
      </c>
    </row>
    <row r="239" spans="1:28" s="28" customFormat="1" x14ac:dyDescent="0.3">
      <c r="A239" s="18">
        <v>238</v>
      </c>
      <c r="B239" s="8">
        <v>46276</v>
      </c>
      <c r="C239" s="8">
        <v>46276</v>
      </c>
      <c r="D239" s="44">
        <v>260911011</v>
      </c>
      <c r="E239" s="22" t="s">
        <v>576</v>
      </c>
      <c r="F239" s="9" t="s">
        <v>577</v>
      </c>
      <c r="G239" s="9">
        <v>47</v>
      </c>
      <c r="H239" s="37">
        <v>131</v>
      </c>
      <c r="I239" s="26" t="s">
        <v>280</v>
      </c>
      <c r="J239" s="36" t="s">
        <v>23</v>
      </c>
      <c r="K239" s="26" t="s">
        <v>30</v>
      </c>
      <c r="L239" s="48" t="s">
        <v>184</v>
      </c>
      <c r="M239" s="9" t="s">
        <v>31</v>
      </c>
      <c r="N239" s="9">
        <v>63.56</v>
      </c>
      <c r="O239" s="9">
        <v>16.52</v>
      </c>
      <c r="P239" s="52">
        <f t="shared" ref="P239:P270" si="43">N239-O239</f>
        <v>47.040000000000006</v>
      </c>
      <c r="Q239" s="11">
        <v>535</v>
      </c>
      <c r="R239" s="12">
        <f t="shared" si="27"/>
        <v>25166.400000000005</v>
      </c>
      <c r="S239" s="11"/>
      <c r="T239" s="13"/>
      <c r="V239" s="19" t="s">
        <v>24</v>
      </c>
      <c r="W239" s="11">
        <v>145</v>
      </c>
      <c r="X239" s="14">
        <f t="shared" si="40"/>
        <v>6820.8000000000011</v>
      </c>
      <c r="Y239" s="15">
        <v>200</v>
      </c>
      <c r="Z239" s="15">
        <f t="shared" si="41"/>
        <v>9408.0000000000018</v>
      </c>
      <c r="AA239" s="13">
        <f t="shared" si="42"/>
        <v>41395.200000000004</v>
      </c>
    </row>
    <row r="240" spans="1:28" s="16" customFormat="1" x14ac:dyDescent="0.3">
      <c r="A240" s="18">
        <v>239</v>
      </c>
      <c r="B240" s="8">
        <v>46276</v>
      </c>
      <c r="C240" s="8">
        <v>46276</v>
      </c>
      <c r="D240" s="44">
        <v>260911012</v>
      </c>
      <c r="E240" s="22" t="s">
        <v>578</v>
      </c>
      <c r="F240" s="9" t="s">
        <v>579</v>
      </c>
      <c r="G240" s="9">
        <v>41</v>
      </c>
      <c r="H240" s="37">
        <v>130</v>
      </c>
      <c r="I240" s="26" t="s">
        <v>344</v>
      </c>
      <c r="J240" s="36" t="s">
        <v>23</v>
      </c>
      <c r="K240" s="26" t="s">
        <v>30</v>
      </c>
      <c r="L240" s="48" t="s">
        <v>580</v>
      </c>
      <c r="M240" s="9" t="s">
        <v>108</v>
      </c>
      <c r="N240" s="9">
        <v>57</v>
      </c>
      <c r="O240" s="9">
        <v>15.68</v>
      </c>
      <c r="P240" s="52">
        <f t="shared" si="43"/>
        <v>41.32</v>
      </c>
      <c r="Q240" s="11">
        <v>300</v>
      </c>
      <c r="R240" s="12">
        <f t="shared" si="27"/>
        <v>12396</v>
      </c>
      <c r="S240" s="11"/>
      <c r="T240" s="13"/>
      <c r="V240" s="19" t="s">
        <v>181</v>
      </c>
      <c r="W240" s="11">
        <v>150</v>
      </c>
      <c r="X240" s="14">
        <f t="shared" si="40"/>
        <v>6198</v>
      </c>
      <c r="Y240" s="15"/>
      <c r="Z240" s="15">
        <f t="shared" si="41"/>
        <v>0</v>
      </c>
      <c r="AA240" s="13">
        <f t="shared" si="42"/>
        <v>18594</v>
      </c>
    </row>
    <row r="241" spans="1:27" s="16" customFormat="1" x14ac:dyDescent="0.3">
      <c r="A241" s="18">
        <v>240</v>
      </c>
      <c r="B241" s="8">
        <v>46276</v>
      </c>
      <c r="C241" s="8">
        <v>46276</v>
      </c>
      <c r="D241" s="44">
        <v>260911013</v>
      </c>
      <c r="E241" s="22" t="s">
        <v>581</v>
      </c>
      <c r="F241" s="9" t="s">
        <v>582</v>
      </c>
      <c r="G241" s="9">
        <v>42</v>
      </c>
      <c r="H241" s="37">
        <v>131</v>
      </c>
      <c r="I241" s="26" t="s">
        <v>280</v>
      </c>
      <c r="J241" s="36" t="s">
        <v>23</v>
      </c>
      <c r="K241" s="26" t="s">
        <v>30</v>
      </c>
      <c r="L241" s="9" t="s">
        <v>324</v>
      </c>
      <c r="M241" s="9" t="s">
        <v>31</v>
      </c>
      <c r="N241" s="9">
        <v>57.9</v>
      </c>
      <c r="O241" s="9">
        <v>15.28</v>
      </c>
      <c r="P241" s="52">
        <f t="shared" si="43"/>
        <v>42.62</v>
      </c>
      <c r="Q241" s="11">
        <v>535</v>
      </c>
      <c r="R241" s="12">
        <f t="shared" si="27"/>
        <v>22801.699999999997</v>
      </c>
      <c r="S241" s="11"/>
      <c r="T241" s="13"/>
      <c r="V241" s="19" t="s">
        <v>24</v>
      </c>
      <c r="W241" s="11">
        <v>145</v>
      </c>
      <c r="X241" s="14">
        <f t="shared" si="40"/>
        <v>6179.9</v>
      </c>
      <c r="Y241" s="15">
        <v>200</v>
      </c>
      <c r="Z241" s="15">
        <f t="shared" si="41"/>
        <v>8524</v>
      </c>
      <c r="AA241" s="13">
        <f t="shared" si="42"/>
        <v>37505.599999999999</v>
      </c>
    </row>
    <row r="242" spans="1:27" s="28" customFormat="1" x14ac:dyDescent="0.3">
      <c r="A242" s="18">
        <v>241</v>
      </c>
      <c r="B242" s="8">
        <v>46276</v>
      </c>
      <c r="C242" s="8">
        <v>46276</v>
      </c>
      <c r="D242" s="44">
        <v>260911014</v>
      </c>
      <c r="E242" s="22" t="s">
        <v>583</v>
      </c>
      <c r="F242" s="9" t="s">
        <v>584</v>
      </c>
      <c r="G242" s="9"/>
      <c r="H242" s="37">
        <v>136</v>
      </c>
      <c r="I242" s="39" t="s">
        <v>69</v>
      </c>
      <c r="J242" s="36" t="s">
        <v>23</v>
      </c>
      <c r="K242" s="26" t="s">
        <v>30</v>
      </c>
      <c r="L242" s="48" t="s">
        <v>82</v>
      </c>
      <c r="M242" s="9" t="s">
        <v>71</v>
      </c>
      <c r="N242" s="9">
        <v>60.22</v>
      </c>
      <c r="O242" s="9">
        <v>15.4</v>
      </c>
      <c r="P242" s="52">
        <f t="shared" si="43"/>
        <v>44.82</v>
      </c>
      <c r="Q242" s="11">
        <v>260</v>
      </c>
      <c r="R242" s="12">
        <f t="shared" si="27"/>
        <v>11653.2</v>
      </c>
      <c r="S242" s="11"/>
      <c r="T242" s="13"/>
      <c r="V242" s="19" t="s">
        <v>24</v>
      </c>
      <c r="W242" s="11"/>
      <c r="X242" s="14">
        <f t="shared" si="40"/>
        <v>0</v>
      </c>
      <c r="Y242" s="15">
        <v>115</v>
      </c>
      <c r="Z242" s="15">
        <f t="shared" si="41"/>
        <v>5154.3</v>
      </c>
      <c r="AA242" s="13">
        <f t="shared" si="42"/>
        <v>16807.5</v>
      </c>
    </row>
    <row r="243" spans="1:27" s="16" customFormat="1" x14ac:dyDescent="0.3">
      <c r="A243" s="18">
        <v>242</v>
      </c>
      <c r="B243" s="8">
        <v>46276</v>
      </c>
      <c r="C243" s="8">
        <v>46276</v>
      </c>
      <c r="D243" s="44">
        <v>260911015</v>
      </c>
      <c r="E243" s="22" t="s">
        <v>585</v>
      </c>
      <c r="F243" s="9" t="s">
        <v>586</v>
      </c>
      <c r="G243" s="9">
        <v>36</v>
      </c>
      <c r="H243" s="37">
        <v>131</v>
      </c>
      <c r="I243" s="26" t="s">
        <v>280</v>
      </c>
      <c r="J243" s="36" t="s">
        <v>23</v>
      </c>
      <c r="K243" s="26" t="s">
        <v>30</v>
      </c>
      <c r="L243" s="48" t="s">
        <v>97</v>
      </c>
      <c r="M243" s="9" t="s">
        <v>31</v>
      </c>
      <c r="N243" s="9">
        <v>50.42</v>
      </c>
      <c r="O243" s="9">
        <v>13.96</v>
      </c>
      <c r="P243" s="52">
        <f t="shared" si="43"/>
        <v>36.46</v>
      </c>
      <c r="Q243" s="11">
        <v>535</v>
      </c>
      <c r="R243" s="12">
        <f t="shared" si="27"/>
        <v>19506.100000000002</v>
      </c>
      <c r="S243" s="11"/>
      <c r="T243" s="13"/>
      <c r="V243" s="19" t="s">
        <v>24</v>
      </c>
      <c r="W243" s="11">
        <v>145</v>
      </c>
      <c r="X243" s="14">
        <f t="shared" si="40"/>
        <v>5286.7</v>
      </c>
      <c r="Y243" s="15">
        <v>200</v>
      </c>
      <c r="Z243" s="15">
        <f t="shared" si="41"/>
        <v>7292</v>
      </c>
      <c r="AA243" s="13">
        <f t="shared" si="42"/>
        <v>32084.800000000003</v>
      </c>
    </row>
    <row r="244" spans="1:27" s="16" customFormat="1" x14ac:dyDescent="0.3">
      <c r="A244" s="18">
        <v>243</v>
      </c>
      <c r="B244" s="8">
        <v>46276</v>
      </c>
      <c r="C244" s="8">
        <v>46276</v>
      </c>
      <c r="D244" s="44">
        <v>260911016</v>
      </c>
      <c r="E244" s="22" t="s">
        <v>587</v>
      </c>
      <c r="F244" s="9" t="s">
        <v>588</v>
      </c>
      <c r="G244" s="9"/>
      <c r="H244" s="37">
        <v>136</v>
      </c>
      <c r="I244" s="39" t="s">
        <v>69</v>
      </c>
      <c r="J244" s="36" t="s">
        <v>23</v>
      </c>
      <c r="K244" s="26" t="s">
        <v>30</v>
      </c>
      <c r="L244" s="48" t="s">
        <v>257</v>
      </c>
      <c r="M244" s="9" t="s">
        <v>71</v>
      </c>
      <c r="N244" s="9">
        <v>44.68</v>
      </c>
      <c r="O244" s="9">
        <v>11.6</v>
      </c>
      <c r="P244" s="52">
        <f t="shared" si="43"/>
        <v>33.08</v>
      </c>
      <c r="Q244" s="11">
        <v>260</v>
      </c>
      <c r="R244" s="12">
        <f t="shared" si="27"/>
        <v>8600.7999999999993</v>
      </c>
      <c r="S244" s="11"/>
      <c r="T244" s="13"/>
      <c r="V244" s="19" t="s">
        <v>24</v>
      </c>
      <c r="W244" s="11"/>
      <c r="X244" s="14">
        <f t="shared" si="40"/>
        <v>0</v>
      </c>
      <c r="Y244" s="15">
        <v>115</v>
      </c>
      <c r="Z244" s="15">
        <f t="shared" si="41"/>
        <v>3804.2</v>
      </c>
      <c r="AA244" s="13">
        <f t="shared" si="42"/>
        <v>12405</v>
      </c>
    </row>
    <row r="245" spans="1:27" s="16" customFormat="1" x14ac:dyDescent="0.3">
      <c r="A245" s="18">
        <v>244</v>
      </c>
      <c r="B245" s="8">
        <v>46276</v>
      </c>
      <c r="C245" s="8">
        <v>46276</v>
      </c>
      <c r="D245" s="44">
        <v>260911017</v>
      </c>
      <c r="E245" s="22" t="s">
        <v>589</v>
      </c>
      <c r="F245" s="9" t="s">
        <v>590</v>
      </c>
      <c r="G245" s="9">
        <v>41</v>
      </c>
      <c r="H245" s="37">
        <v>130</v>
      </c>
      <c r="I245" s="26" t="s">
        <v>344</v>
      </c>
      <c r="J245" s="36" t="s">
        <v>23</v>
      </c>
      <c r="K245" s="26" t="s">
        <v>30</v>
      </c>
      <c r="L245" s="48" t="s">
        <v>345</v>
      </c>
      <c r="M245" s="9" t="s">
        <v>31</v>
      </c>
      <c r="N245" s="9">
        <v>56.54</v>
      </c>
      <c r="O245" s="9">
        <v>15.5</v>
      </c>
      <c r="P245" s="52">
        <f t="shared" si="43"/>
        <v>41.04</v>
      </c>
      <c r="Q245" s="11">
        <v>520</v>
      </c>
      <c r="R245" s="12">
        <f t="shared" si="27"/>
        <v>21340.799999999999</v>
      </c>
      <c r="S245" s="11"/>
      <c r="T245" s="13"/>
      <c r="V245" s="19" t="s">
        <v>24</v>
      </c>
      <c r="W245" s="11">
        <v>150</v>
      </c>
      <c r="X245" s="14">
        <f t="shared" si="40"/>
        <v>6156</v>
      </c>
      <c r="Y245" s="15"/>
      <c r="Z245" s="15">
        <f t="shared" si="41"/>
        <v>0</v>
      </c>
      <c r="AA245" s="13">
        <f t="shared" si="42"/>
        <v>27496.799999999999</v>
      </c>
    </row>
    <row r="246" spans="1:27" s="16" customFormat="1" x14ac:dyDescent="0.3">
      <c r="A246" s="18">
        <v>245</v>
      </c>
      <c r="B246" s="8">
        <v>46276</v>
      </c>
      <c r="C246" s="8">
        <v>46276</v>
      </c>
      <c r="D246" s="44">
        <v>260911018</v>
      </c>
      <c r="E246" s="22" t="s">
        <v>591</v>
      </c>
      <c r="F246" s="9" t="s">
        <v>592</v>
      </c>
      <c r="G246" s="9">
        <v>45</v>
      </c>
      <c r="H246" s="37">
        <v>131</v>
      </c>
      <c r="I246" s="26" t="s">
        <v>280</v>
      </c>
      <c r="J246" s="36" t="s">
        <v>23</v>
      </c>
      <c r="K246" s="26" t="s">
        <v>30</v>
      </c>
      <c r="L246" s="48" t="s">
        <v>305</v>
      </c>
      <c r="M246" s="9" t="s">
        <v>108</v>
      </c>
      <c r="N246" s="9">
        <v>60.96</v>
      </c>
      <c r="O246" s="9">
        <v>15.08</v>
      </c>
      <c r="P246" s="52">
        <f>N246-O246</f>
        <v>45.88</v>
      </c>
      <c r="Q246" s="11">
        <v>285</v>
      </c>
      <c r="R246" s="12">
        <f t="shared" si="27"/>
        <v>13075.800000000001</v>
      </c>
      <c r="S246" s="11"/>
      <c r="T246" s="13"/>
      <c r="V246" s="19" t="s">
        <v>24</v>
      </c>
      <c r="W246" s="11"/>
      <c r="X246" s="14">
        <f t="shared" si="40"/>
        <v>0</v>
      </c>
      <c r="Y246" s="15"/>
      <c r="Z246" s="15">
        <f t="shared" si="41"/>
        <v>0</v>
      </c>
      <c r="AA246" s="13">
        <f t="shared" si="42"/>
        <v>13075.800000000001</v>
      </c>
    </row>
    <row r="247" spans="1:27" s="16" customFormat="1" x14ac:dyDescent="0.3">
      <c r="A247" s="18">
        <v>246</v>
      </c>
      <c r="B247" s="8">
        <v>46276</v>
      </c>
      <c r="C247" s="8">
        <v>46276</v>
      </c>
      <c r="D247" s="44">
        <v>260911019</v>
      </c>
      <c r="E247" s="22" t="s">
        <v>593</v>
      </c>
      <c r="F247" s="9" t="s">
        <v>594</v>
      </c>
      <c r="G247" s="9">
        <v>41</v>
      </c>
      <c r="H247" s="37">
        <v>130</v>
      </c>
      <c r="I247" s="26" t="s">
        <v>344</v>
      </c>
      <c r="J247" s="36" t="s">
        <v>23</v>
      </c>
      <c r="K247" s="26" t="s">
        <v>30</v>
      </c>
      <c r="L247" s="48" t="s">
        <v>480</v>
      </c>
      <c r="M247" s="9" t="s">
        <v>31</v>
      </c>
      <c r="N247" s="9">
        <v>57.16</v>
      </c>
      <c r="O247" s="9">
        <v>15.44</v>
      </c>
      <c r="P247" s="52">
        <f t="shared" si="43"/>
        <v>41.72</v>
      </c>
      <c r="Q247" s="11">
        <v>520</v>
      </c>
      <c r="R247" s="12">
        <f t="shared" si="27"/>
        <v>21694.399999999998</v>
      </c>
      <c r="S247" s="11"/>
      <c r="T247" s="13"/>
      <c r="V247" s="19" t="s">
        <v>24</v>
      </c>
      <c r="W247" s="11">
        <v>150</v>
      </c>
      <c r="X247" s="14">
        <f t="shared" si="40"/>
        <v>6258</v>
      </c>
      <c r="Y247" s="15"/>
      <c r="Z247" s="15">
        <f t="shared" si="41"/>
        <v>0</v>
      </c>
      <c r="AA247" s="13">
        <f t="shared" si="42"/>
        <v>27952.399999999998</v>
      </c>
    </row>
    <row r="248" spans="1:27" s="16" customFormat="1" x14ac:dyDescent="0.3">
      <c r="A248" s="18">
        <v>247</v>
      </c>
      <c r="B248" s="8">
        <v>46276</v>
      </c>
      <c r="C248" s="8">
        <v>46276</v>
      </c>
      <c r="D248" s="44">
        <v>260911020</v>
      </c>
      <c r="E248" s="22" t="s">
        <v>595</v>
      </c>
      <c r="F248" s="9" t="s">
        <v>596</v>
      </c>
      <c r="G248" s="9"/>
      <c r="H248" s="37">
        <v>136</v>
      </c>
      <c r="I248" s="39" t="s">
        <v>69</v>
      </c>
      <c r="J248" s="36" t="s">
        <v>23</v>
      </c>
      <c r="K248" s="26" t="s">
        <v>30</v>
      </c>
      <c r="L248" s="48" t="s">
        <v>597</v>
      </c>
      <c r="M248" s="9" t="s">
        <v>71</v>
      </c>
      <c r="N248" s="9">
        <v>57.72</v>
      </c>
      <c r="O248" s="9">
        <v>15.52</v>
      </c>
      <c r="P248" s="52">
        <f t="shared" si="43"/>
        <v>42.2</v>
      </c>
      <c r="Q248" s="11">
        <v>260</v>
      </c>
      <c r="R248" s="12">
        <f t="shared" si="27"/>
        <v>10972</v>
      </c>
      <c r="S248" s="11"/>
      <c r="T248" s="13"/>
      <c r="V248" s="19" t="s">
        <v>24</v>
      </c>
      <c r="W248" s="11"/>
      <c r="X248" s="14">
        <f t="shared" si="40"/>
        <v>0</v>
      </c>
      <c r="Y248" s="15">
        <v>115</v>
      </c>
      <c r="Z248" s="15">
        <f t="shared" si="41"/>
        <v>4853</v>
      </c>
      <c r="AA248" s="13">
        <f t="shared" si="42"/>
        <v>15825</v>
      </c>
    </row>
    <row r="249" spans="1:27" s="16" customFormat="1" x14ac:dyDescent="0.3">
      <c r="A249" s="18">
        <v>248</v>
      </c>
      <c r="B249" s="8">
        <v>46276</v>
      </c>
      <c r="C249" s="8">
        <v>46276</v>
      </c>
      <c r="D249" s="44">
        <v>260911021</v>
      </c>
      <c r="E249" s="22" t="s">
        <v>598</v>
      </c>
      <c r="F249" s="9" t="s">
        <v>599</v>
      </c>
      <c r="G249" s="9"/>
      <c r="H249" s="37">
        <v>136</v>
      </c>
      <c r="I249" s="39" t="s">
        <v>69</v>
      </c>
      <c r="J249" s="36" t="s">
        <v>23</v>
      </c>
      <c r="K249" s="26" t="s">
        <v>30</v>
      </c>
      <c r="L249" s="48" t="s">
        <v>277</v>
      </c>
      <c r="M249" s="9" t="s">
        <v>71</v>
      </c>
      <c r="N249" s="9">
        <v>45.54</v>
      </c>
      <c r="O249" s="9">
        <v>11.92</v>
      </c>
      <c r="P249" s="52">
        <f t="shared" si="43"/>
        <v>33.619999999999997</v>
      </c>
      <c r="Q249" s="11">
        <v>260</v>
      </c>
      <c r="R249" s="12">
        <f t="shared" si="27"/>
        <v>8741.1999999999989</v>
      </c>
      <c r="S249" s="11"/>
      <c r="T249" s="13"/>
      <c r="V249" s="19" t="s">
        <v>24</v>
      </c>
      <c r="W249" s="11"/>
      <c r="X249" s="14">
        <f t="shared" si="40"/>
        <v>0</v>
      </c>
      <c r="Y249" s="15">
        <v>115</v>
      </c>
      <c r="Z249" s="15">
        <f t="shared" si="41"/>
        <v>3866.2999999999997</v>
      </c>
      <c r="AA249" s="13">
        <f t="shared" si="42"/>
        <v>12607.499999999998</v>
      </c>
    </row>
    <row r="250" spans="1:27" s="16" customFormat="1" x14ac:dyDescent="0.3">
      <c r="A250" s="18">
        <v>249</v>
      </c>
      <c r="B250" s="8">
        <v>46276</v>
      </c>
      <c r="C250" s="8">
        <v>46276</v>
      </c>
      <c r="D250" s="44">
        <v>260911022</v>
      </c>
      <c r="E250" s="22" t="s">
        <v>600</v>
      </c>
      <c r="F250" s="9" t="s">
        <v>601</v>
      </c>
      <c r="G250" s="9"/>
      <c r="H250" s="37">
        <v>136</v>
      </c>
      <c r="I250" s="39" t="s">
        <v>69</v>
      </c>
      <c r="J250" s="36" t="s">
        <v>23</v>
      </c>
      <c r="K250" s="26" t="s">
        <v>30</v>
      </c>
      <c r="L250" s="48" t="s">
        <v>274</v>
      </c>
      <c r="M250" s="9" t="s">
        <v>71</v>
      </c>
      <c r="N250" s="9">
        <v>41.58</v>
      </c>
      <c r="O250" s="9">
        <v>11.62</v>
      </c>
      <c r="P250" s="52">
        <f t="shared" si="43"/>
        <v>29.96</v>
      </c>
      <c r="Q250" s="11">
        <v>260</v>
      </c>
      <c r="R250" s="12">
        <f t="shared" si="27"/>
        <v>7789.6</v>
      </c>
      <c r="S250" s="11"/>
      <c r="T250" s="13"/>
      <c r="V250" s="19" t="s">
        <v>24</v>
      </c>
      <c r="W250" s="11"/>
      <c r="X250" s="14">
        <f t="shared" si="40"/>
        <v>0</v>
      </c>
      <c r="Y250" s="15">
        <v>115</v>
      </c>
      <c r="Z250" s="15">
        <f t="shared" si="41"/>
        <v>3445.4</v>
      </c>
      <c r="AA250" s="13">
        <f t="shared" si="42"/>
        <v>11235</v>
      </c>
    </row>
    <row r="251" spans="1:27" s="16" customFormat="1" x14ac:dyDescent="0.3">
      <c r="A251" s="18">
        <v>250</v>
      </c>
      <c r="B251" s="8">
        <v>46276</v>
      </c>
      <c r="C251" s="8">
        <v>46276</v>
      </c>
      <c r="D251" s="44">
        <v>260911023</v>
      </c>
      <c r="E251" s="22" t="s">
        <v>602</v>
      </c>
      <c r="F251" s="9" t="s">
        <v>603</v>
      </c>
      <c r="G251" s="9"/>
      <c r="H251" s="37">
        <v>136</v>
      </c>
      <c r="I251" s="39" t="s">
        <v>69</v>
      </c>
      <c r="J251" s="36" t="s">
        <v>23</v>
      </c>
      <c r="K251" s="26" t="s">
        <v>30</v>
      </c>
      <c r="L251" s="48" t="s">
        <v>604</v>
      </c>
      <c r="M251" s="9" t="s">
        <v>71</v>
      </c>
      <c r="N251" s="9">
        <v>58.68</v>
      </c>
      <c r="O251" s="9">
        <v>16</v>
      </c>
      <c r="P251" s="52">
        <f t="shared" si="43"/>
        <v>42.68</v>
      </c>
      <c r="Q251" s="11">
        <v>260</v>
      </c>
      <c r="R251" s="12">
        <f t="shared" si="27"/>
        <v>11096.8</v>
      </c>
      <c r="S251" s="11"/>
      <c r="T251" s="13"/>
      <c r="V251" s="19" t="s">
        <v>24</v>
      </c>
      <c r="W251" s="11"/>
      <c r="X251" s="14">
        <f t="shared" si="40"/>
        <v>0</v>
      </c>
      <c r="Y251" s="15">
        <v>115</v>
      </c>
      <c r="Z251" s="15">
        <f t="shared" si="41"/>
        <v>4908.2</v>
      </c>
      <c r="AA251" s="13">
        <f t="shared" si="42"/>
        <v>16005</v>
      </c>
    </row>
    <row r="252" spans="1:27" s="16" customFormat="1" x14ac:dyDescent="0.3">
      <c r="A252" s="18">
        <v>251</v>
      </c>
      <c r="B252" s="8">
        <v>46276</v>
      </c>
      <c r="C252" s="8">
        <v>46276</v>
      </c>
      <c r="D252" s="44">
        <v>260911024</v>
      </c>
      <c r="E252" s="22" t="s">
        <v>605</v>
      </c>
      <c r="F252" s="9" t="s">
        <v>606</v>
      </c>
      <c r="G252" s="9">
        <v>31</v>
      </c>
      <c r="H252" s="41">
        <v>115</v>
      </c>
      <c r="I252" s="26" t="s">
        <v>103</v>
      </c>
      <c r="J252" s="36" t="s">
        <v>23</v>
      </c>
      <c r="K252" s="42" t="s">
        <v>30</v>
      </c>
      <c r="L252" s="48" t="s">
        <v>111</v>
      </c>
      <c r="M252" s="9" t="s">
        <v>31</v>
      </c>
      <c r="N252" s="9">
        <v>43.2</v>
      </c>
      <c r="O252" s="9">
        <v>12</v>
      </c>
      <c r="P252" s="52">
        <f t="shared" si="43"/>
        <v>31.200000000000003</v>
      </c>
      <c r="Q252" s="11">
        <v>545</v>
      </c>
      <c r="R252" s="12">
        <f t="shared" si="27"/>
        <v>17004</v>
      </c>
      <c r="S252" s="11"/>
      <c r="T252" s="13"/>
      <c r="V252" s="19" t="s">
        <v>24</v>
      </c>
      <c r="W252" s="11">
        <v>145</v>
      </c>
      <c r="X252" s="14">
        <f t="shared" si="40"/>
        <v>4524</v>
      </c>
      <c r="Y252" s="15">
        <v>260</v>
      </c>
      <c r="Z252" s="15">
        <f t="shared" si="41"/>
        <v>8112.0000000000009</v>
      </c>
      <c r="AA252" s="13">
        <f t="shared" si="42"/>
        <v>29640</v>
      </c>
    </row>
    <row r="253" spans="1:27" s="16" customFormat="1" x14ac:dyDescent="0.3">
      <c r="A253" s="18">
        <v>252</v>
      </c>
      <c r="B253" s="8">
        <v>46276</v>
      </c>
      <c r="C253" s="8">
        <v>46276</v>
      </c>
      <c r="D253" s="44">
        <v>260911025</v>
      </c>
      <c r="E253" s="22" t="s">
        <v>607</v>
      </c>
      <c r="F253" s="9" t="s">
        <v>608</v>
      </c>
      <c r="G253" s="9">
        <v>45</v>
      </c>
      <c r="H253" s="41">
        <v>115</v>
      </c>
      <c r="I253" s="26" t="s">
        <v>103</v>
      </c>
      <c r="J253" s="36" t="s">
        <v>23</v>
      </c>
      <c r="K253" s="42" t="s">
        <v>30</v>
      </c>
      <c r="L253" s="11" t="s">
        <v>193</v>
      </c>
      <c r="M253" s="16" t="s">
        <v>108</v>
      </c>
      <c r="N253" s="9">
        <v>61.96</v>
      </c>
      <c r="O253" s="9">
        <v>16.920000000000002</v>
      </c>
      <c r="P253" s="52">
        <f t="shared" si="43"/>
        <v>45.04</v>
      </c>
      <c r="Q253" s="11">
        <v>315</v>
      </c>
      <c r="R253" s="12">
        <f t="shared" si="27"/>
        <v>14187.6</v>
      </c>
      <c r="S253" s="11"/>
      <c r="T253" s="13"/>
      <c r="V253" s="19" t="s">
        <v>24</v>
      </c>
      <c r="W253" s="11">
        <v>145</v>
      </c>
      <c r="X253" s="14">
        <f t="shared" si="40"/>
        <v>6530.8</v>
      </c>
      <c r="Y253" s="15">
        <v>260</v>
      </c>
      <c r="Z253" s="15">
        <f t="shared" si="41"/>
        <v>11710.4</v>
      </c>
      <c r="AA253" s="13">
        <f t="shared" si="42"/>
        <v>32428.800000000003</v>
      </c>
    </row>
    <row r="254" spans="1:27" s="16" customFormat="1" x14ac:dyDescent="0.3">
      <c r="A254" s="18">
        <v>253</v>
      </c>
      <c r="B254" s="8">
        <v>46276</v>
      </c>
      <c r="C254" s="8">
        <v>46276</v>
      </c>
      <c r="D254" s="44">
        <v>260911026</v>
      </c>
      <c r="E254" s="22" t="s">
        <v>609</v>
      </c>
      <c r="F254" s="9" t="s">
        <v>610</v>
      </c>
      <c r="G254" s="9">
        <v>31</v>
      </c>
      <c r="H254" s="41">
        <v>115</v>
      </c>
      <c r="I254" s="26" t="s">
        <v>103</v>
      </c>
      <c r="J254" s="36" t="s">
        <v>23</v>
      </c>
      <c r="K254" s="42" t="s">
        <v>30</v>
      </c>
      <c r="L254" s="48" t="s">
        <v>162</v>
      </c>
      <c r="M254" s="9" t="s">
        <v>31</v>
      </c>
      <c r="N254" s="9">
        <v>43.6</v>
      </c>
      <c r="O254" s="9">
        <v>11.7</v>
      </c>
      <c r="P254" s="52">
        <f t="shared" si="43"/>
        <v>31.900000000000002</v>
      </c>
      <c r="Q254" s="11">
        <v>545</v>
      </c>
      <c r="R254" s="12">
        <f t="shared" si="27"/>
        <v>17385.5</v>
      </c>
      <c r="S254" s="11"/>
      <c r="T254" s="13"/>
      <c r="V254" s="19" t="s">
        <v>24</v>
      </c>
      <c r="W254" s="11">
        <v>145</v>
      </c>
      <c r="X254" s="14">
        <f t="shared" si="40"/>
        <v>4625.5</v>
      </c>
      <c r="Y254" s="15">
        <v>260</v>
      </c>
      <c r="Z254" s="15">
        <f t="shared" si="41"/>
        <v>8294</v>
      </c>
      <c r="AA254" s="13">
        <f t="shared" si="42"/>
        <v>30305</v>
      </c>
    </row>
    <row r="255" spans="1:27" s="16" customFormat="1" x14ac:dyDescent="0.3">
      <c r="A255" s="18">
        <v>254</v>
      </c>
      <c r="B255" s="8">
        <v>46276</v>
      </c>
      <c r="C255" s="8">
        <v>46276</v>
      </c>
      <c r="D255" s="44">
        <v>260911027</v>
      </c>
      <c r="E255" s="22" t="s">
        <v>611</v>
      </c>
      <c r="F255" s="9" t="s">
        <v>612</v>
      </c>
      <c r="G255" s="9">
        <v>46</v>
      </c>
      <c r="H255" s="41">
        <v>115</v>
      </c>
      <c r="I255" s="26" t="s">
        <v>103</v>
      </c>
      <c r="J255" s="36" t="s">
        <v>23</v>
      </c>
      <c r="K255" s="42" t="s">
        <v>30</v>
      </c>
      <c r="L255" s="48" t="s">
        <v>395</v>
      </c>
      <c r="M255" s="9" t="s">
        <v>108</v>
      </c>
      <c r="N255" s="9">
        <v>62.54</v>
      </c>
      <c r="O255" s="9">
        <v>16.440000000000001</v>
      </c>
      <c r="P255" s="52">
        <f t="shared" si="43"/>
        <v>46.099999999999994</v>
      </c>
      <c r="Q255" s="11">
        <v>315</v>
      </c>
      <c r="R255" s="12">
        <f t="shared" si="27"/>
        <v>14521.499999999998</v>
      </c>
      <c r="S255" s="11"/>
      <c r="T255" s="13"/>
      <c r="V255" s="19" t="s">
        <v>24</v>
      </c>
      <c r="W255" s="11">
        <v>145</v>
      </c>
      <c r="X255" s="14">
        <f t="shared" si="40"/>
        <v>6684.4999999999991</v>
      </c>
      <c r="Y255" s="15">
        <v>260</v>
      </c>
      <c r="Z255" s="15">
        <f t="shared" si="41"/>
        <v>11985.999999999998</v>
      </c>
      <c r="AA255" s="13">
        <f t="shared" si="42"/>
        <v>33191.999999999993</v>
      </c>
    </row>
    <row r="256" spans="1:27" s="16" customFormat="1" x14ac:dyDescent="0.3">
      <c r="A256" s="18">
        <v>255</v>
      </c>
      <c r="B256" s="8">
        <v>46276</v>
      </c>
      <c r="C256" s="8">
        <v>46276</v>
      </c>
      <c r="D256" s="49">
        <v>260911028</v>
      </c>
      <c r="E256" s="22" t="s">
        <v>613</v>
      </c>
      <c r="F256" s="9" t="s">
        <v>614</v>
      </c>
      <c r="G256" s="9">
        <v>34</v>
      </c>
      <c r="H256" s="37">
        <v>141</v>
      </c>
      <c r="I256" s="26" t="s">
        <v>615</v>
      </c>
      <c r="J256" s="6" t="s">
        <v>23</v>
      </c>
      <c r="K256" s="26" t="s">
        <v>30</v>
      </c>
      <c r="L256" s="48" t="s">
        <v>386</v>
      </c>
      <c r="M256" s="9" t="s">
        <v>163</v>
      </c>
      <c r="N256" s="9">
        <v>46.9</v>
      </c>
      <c r="O256" s="9">
        <v>12.06</v>
      </c>
      <c r="P256" s="52">
        <f t="shared" si="43"/>
        <v>34.839999999999996</v>
      </c>
      <c r="Q256" s="11">
        <v>250</v>
      </c>
      <c r="R256" s="12">
        <f t="shared" si="27"/>
        <v>8709.9999999999982</v>
      </c>
      <c r="S256" s="11"/>
      <c r="T256" s="13"/>
      <c r="V256" s="19" t="s">
        <v>24</v>
      </c>
      <c r="W256" s="11">
        <v>145</v>
      </c>
      <c r="X256" s="14">
        <f t="shared" si="40"/>
        <v>5051.7999999999993</v>
      </c>
      <c r="Y256" s="15">
        <v>210</v>
      </c>
      <c r="Z256" s="15">
        <f t="shared" si="41"/>
        <v>7316.4</v>
      </c>
      <c r="AA256" s="13">
        <f t="shared" si="42"/>
        <v>21078.199999999997</v>
      </c>
    </row>
    <row r="257" spans="1:40" s="16" customFormat="1" x14ac:dyDescent="0.3">
      <c r="A257" s="18">
        <v>256</v>
      </c>
      <c r="B257" s="8">
        <v>46276</v>
      </c>
      <c r="C257" s="8">
        <v>46276</v>
      </c>
      <c r="D257" s="44">
        <v>260911029</v>
      </c>
      <c r="E257" s="22" t="s">
        <v>616</v>
      </c>
      <c r="F257" s="9" t="s">
        <v>617</v>
      </c>
      <c r="G257" s="9">
        <v>40</v>
      </c>
      <c r="H257" s="37">
        <v>141</v>
      </c>
      <c r="I257" s="26" t="s">
        <v>615</v>
      </c>
      <c r="J257" s="6" t="s">
        <v>23</v>
      </c>
      <c r="K257" s="26" t="s">
        <v>30</v>
      </c>
      <c r="L257" s="48" t="s">
        <v>97</v>
      </c>
      <c r="M257" s="9" t="s">
        <v>163</v>
      </c>
      <c r="N257" s="9">
        <v>54.36</v>
      </c>
      <c r="O257" s="9">
        <v>13.94</v>
      </c>
      <c r="P257" s="52">
        <f t="shared" si="43"/>
        <v>40.42</v>
      </c>
      <c r="Q257" s="11">
        <v>250</v>
      </c>
      <c r="R257" s="12">
        <f t="shared" si="27"/>
        <v>10105</v>
      </c>
      <c r="S257" s="11"/>
      <c r="T257" s="13"/>
      <c r="V257" s="19" t="s">
        <v>24</v>
      </c>
      <c r="W257" s="11">
        <v>145</v>
      </c>
      <c r="X257" s="14">
        <f t="shared" si="40"/>
        <v>5860.9000000000005</v>
      </c>
      <c r="Y257" s="15">
        <v>210</v>
      </c>
      <c r="Z257" s="15">
        <f t="shared" si="41"/>
        <v>8488.2000000000007</v>
      </c>
      <c r="AA257" s="13">
        <f t="shared" si="42"/>
        <v>24454.100000000002</v>
      </c>
    </row>
    <row r="258" spans="1:40" s="16" customFormat="1" x14ac:dyDescent="0.3">
      <c r="A258" s="18">
        <v>257</v>
      </c>
      <c r="B258" s="8">
        <v>46276</v>
      </c>
      <c r="C258" s="8">
        <v>46276</v>
      </c>
      <c r="D258" s="44">
        <v>260911030</v>
      </c>
      <c r="E258" s="22" t="s">
        <v>618</v>
      </c>
      <c r="F258" s="9" t="s">
        <v>619</v>
      </c>
      <c r="G258" s="9">
        <v>41</v>
      </c>
      <c r="H258" s="37">
        <v>141</v>
      </c>
      <c r="I258" s="26" t="s">
        <v>615</v>
      </c>
      <c r="J258" s="6" t="s">
        <v>23</v>
      </c>
      <c r="K258" s="26" t="s">
        <v>30</v>
      </c>
      <c r="L258" s="48" t="s">
        <v>123</v>
      </c>
      <c r="M258" s="9" t="s">
        <v>163</v>
      </c>
      <c r="N258" s="9">
        <v>57.98</v>
      </c>
      <c r="O258" s="9">
        <v>16.02</v>
      </c>
      <c r="P258" s="52">
        <f t="shared" si="43"/>
        <v>41.959999999999994</v>
      </c>
      <c r="Q258" s="11">
        <v>250</v>
      </c>
      <c r="R258" s="12">
        <f t="shared" ref="R258:R321" si="44">P258*Q258</f>
        <v>10489.999999999998</v>
      </c>
      <c r="S258" s="11"/>
      <c r="T258" s="13"/>
      <c r="V258" s="19" t="s">
        <v>24</v>
      </c>
      <c r="W258" s="11">
        <v>145</v>
      </c>
      <c r="X258" s="14">
        <f t="shared" si="40"/>
        <v>6084.1999999999989</v>
      </c>
      <c r="Y258" s="15">
        <v>210</v>
      </c>
      <c r="Z258" s="15">
        <f t="shared" si="41"/>
        <v>8811.5999999999985</v>
      </c>
      <c r="AA258" s="13">
        <f t="shared" si="42"/>
        <v>25385.799999999996</v>
      </c>
    </row>
    <row r="259" spans="1:40" s="16" customFormat="1" x14ac:dyDescent="0.3">
      <c r="A259" s="18">
        <v>258</v>
      </c>
      <c r="B259" s="8">
        <v>46276</v>
      </c>
      <c r="C259" s="8">
        <v>46276</v>
      </c>
      <c r="D259" s="44">
        <v>260911031</v>
      </c>
      <c r="E259" s="22" t="s">
        <v>620</v>
      </c>
      <c r="F259" s="9" t="s">
        <v>621</v>
      </c>
      <c r="G259" s="9"/>
      <c r="H259" s="37">
        <v>136</v>
      </c>
      <c r="I259" s="39" t="s">
        <v>69</v>
      </c>
      <c r="J259" s="36" t="s">
        <v>23</v>
      </c>
      <c r="K259" s="26" t="s">
        <v>30</v>
      </c>
      <c r="L259" s="48" t="s">
        <v>597</v>
      </c>
      <c r="M259" s="9" t="s">
        <v>71</v>
      </c>
      <c r="N259" s="9">
        <v>59.74</v>
      </c>
      <c r="O259" s="9">
        <v>15.5</v>
      </c>
      <c r="P259" s="52">
        <f t="shared" si="43"/>
        <v>44.24</v>
      </c>
      <c r="Q259" s="11">
        <v>260</v>
      </c>
      <c r="R259" s="12">
        <f t="shared" si="44"/>
        <v>11502.4</v>
      </c>
      <c r="S259" s="11"/>
      <c r="T259" s="13"/>
      <c r="V259" s="19" t="s">
        <v>24</v>
      </c>
      <c r="W259" s="11"/>
      <c r="X259" s="14">
        <f t="shared" si="40"/>
        <v>0</v>
      </c>
      <c r="Y259" s="15">
        <v>115</v>
      </c>
      <c r="Z259" s="15">
        <f t="shared" si="41"/>
        <v>5087.6000000000004</v>
      </c>
      <c r="AA259" s="13">
        <f t="shared" si="42"/>
        <v>16590</v>
      </c>
    </row>
    <row r="260" spans="1:40" s="16" customFormat="1" x14ac:dyDescent="0.3">
      <c r="A260" s="18">
        <v>259</v>
      </c>
      <c r="B260" s="8">
        <v>46276</v>
      </c>
      <c r="C260" s="8">
        <v>46277</v>
      </c>
      <c r="D260" s="44">
        <v>260912001</v>
      </c>
      <c r="E260" s="22" t="s">
        <v>622</v>
      </c>
      <c r="F260" s="9" t="s">
        <v>623</v>
      </c>
      <c r="G260" s="9">
        <v>40</v>
      </c>
      <c r="H260" s="37">
        <v>131</v>
      </c>
      <c r="I260" s="26" t="s">
        <v>280</v>
      </c>
      <c r="J260" s="36" t="s">
        <v>23</v>
      </c>
      <c r="K260" s="26" t="s">
        <v>30</v>
      </c>
      <c r="L260" s="48" t="s">
        <v>170</v>
      </c>
      <c r="M260" s="9" t="s">
        <v>108</v>
      </c>
      <c r="N260" s="9">
        <v>55.88</v>
      </c>
      <c r="O260" s="9">
        <v>15.06</v>
      </c>
      <c r="P260" s="52">
        <f t="shared" si="43"/>
        <v>40.82</v>
      </c>
      <c r="Q260" s="11">
        <v>285</v>
      </c>
      <c r="R260" s="12">
        <f t="shared" si="44"/>
        <v>11633.7</v>
      </c>
      <c r="S260" s="11"/>
      <c r="T260" s="13"/>
      <c r="V260" s="19" t="s">
        <v>24</v>
      </c>
      <c r="W260" s="11">
        <v>145</v>
      </c>
      <c r="X260" s="14">
        <f t="shared" si="40"/>
        <v>5918.9</v>
      </c>
      <c r="Y260" s="15">
        <v>200</v>
      </c>
      <c r="Z260" s="15">
        <f t="shared" si="41"/>
        <v>8164</v>
      </c>
      <c r="AA260" s="13">
        <f t="shared" si="42"/>
        <v>25716.6</v>
      </c>
    </row>
    <row r="261" spans="1:40" s="16" customFormat="1" x14ac:dyDescent="0.3">
      <c r="A261" s="18">
        <v>260</v>
      </c>
      <c r="B261" s="8">
        <v>46276</v>
      </c>
      <c r="C261" s="8">
        <v>46277</v>
      </c>
      <c r="D261" s="44">
        <v>260912002</v>
      </c>
      <c r="E261" s="22" t="s">
        <v>624</v>
      </c>
      <c r="F261" s="9" t="s">
        <v>625</v>
      </c>
      <c r="G261" s="9">
        <v>45</v>
      </c>
      <c r="H261" s="37">
        <v>131</v>
      </c>
      <c r="I261" s="26" t="s">
        <v>280</v>
      </c>
      <c r="J261" s="36" t="s">
        <v>23</v>
      </c>
      <c r="K261" s="26" t="s">
        <v>30</v>
      </c>
      <c r="L261" s="45" t="s">
        <v>193</v>
      </c>
      <c r="M261" s="9" t="s">
        <v>108</v>
      </c>
      <c r="N261" s="9">
        <v>62.54</v>
      </c>
      <c r="O261" s="9">
        <v>16.86</v>
      </c>
      <c r="P261" s="52">
        <f t="shared" si="43"/>
        <v>45.68</v>
      </c>
      <c r="Q261" s="11">
        <v>285</v>
      </c>
      <c r="R261" s="12">
        <f t="shared" si="44"/>
        <v>13018.8</v>
      </c>
      <c r="S261" s="11"/>
      <c r="T261" s="13"/>
      <c r="V261" s="19" t="s">
        <v>24</v>
      </c>
      <c r="W261" s="11">
        <v>145</v>
      </c>
      <c r="X261" s="14">
        <f t="shared" si="40"/>
        <v>6623.6</v>
      </c>
      <c r="Y261" s="15">
        <v>200</v>
      </c>
      <c r="Z261" s="15">
        <f t="shared" si="41"/>
        <v>9136</v>
      </c>
      <c r="AA261" s="13">
        <f t="shared" si="42"/>
        <v>28778.400000000001</v>
      </c>
    </row>
    <row r="262" spans="1:40" s="16" customFormat="1" x14ac:dyDescent="0.3">
      <c r="A262" s="18">
        <v>261</v>
      </c>
      <c r="B262" s="8">
        <v>46276</v>
      </c>
      <c r="C262" s="8">
        <v>46277</v>
      </c>
      <c r="D262" s="44">
        <v>260912003</v>
      </c>
      <c r="E262" s="22" t="s">
        <v>626</v>
      </c>
      <c r="F262" s="9" t="s">
        <v>627</v>
      </c>
      <c r="G262" s="9">
        <v>41</v>
      </c>
      <c r="H262" s="37">
        <v>131</v>
      </c>
      <c r="I262" s="26" t="s">
        <v>280</v>
      </c>
      <c r="J262" s="36" t="s">
        <v>23</v>
      </c>
      <c r="K262" s="26" t="s">
        <v>30</v>
      </c>
      <c r="L262" s="45" t="s">
        <v>516</v>
      </c>
      <c r="M262" s="9" t="s">
        <v>31</v>
      </c>
      <c r="N262" s="9">
        <v>58.62</v>
      </c>
      <c r="O262" s="9">
        <v>16.86</v>
      </c>
      <c r="P262" s="52">
        <f t="shared" si="43"/>
        <v>41.76</v>
      </c>
      <c r="Q262" s="11">
        <v>535</v>
      </c>
      <c r="R262" s="12">
        <f t="shared" si="44"/>
        <v>22341.599999999999</v>
      </c>
      <c r="S262" s="11"/>
      <c r="T262" s="13"/>
      <c r="V262" s="19" t="s">
        <v>24</v>
      </c>
      <c r="W262" s="11">
        <v>145</v>
      </c>
      <c r="X262" s="14">
        <f t="shared" si="40"/>
        <v>6055.2</v>
      </c>
      <c r="Y262" s="15">
        <v>200</v>
      </c>
      <c r="Z262" s="15">
        <f t="shared" si="41"/>
        <v>8352</v>
      </c>
      <c r="AA262" s="13">
        <f t="shared" si="42"/>
        <v>36748.800000000003</v>
      </c>
    </row>
    <row r="263" spans="1:40" s="16" customFormat="1" x14ac:dyDescent="0.3">
      <c r="A263" s="18">
        <v>262</v>
      </c>
      <c r="B263" s="8">
        <v>46276</v>
      </c>
      <c r="C263" s="8">
        <v>46277</v>
      </c>
      <c r="D263" s="44">
        <v>260912004</v>
      </c>
      <c r="E263" s="22" t="s">
        <v>628</v>
      </c>
      <c r="F263" s="9" t="s">
        <v>629</v>
      </c>
      <c r="G263" s="9">
        <v>46</v>
      </c>
      <c r="H263" s="37">
        <v>131</v>
      </c>
      <c r="I263" s="26" t="s">
        <v>280</v>
      </c>
      <c r="J263" s="36" t="s">
        <v>23</v>
      </c>
      <c r="K263" s="26" t="s">
        <v>30</v>
      </c>
      <c r="L263" s="45" t="s">
        <v>395</v>
      </c>
      <c r="M263" s="9" t="s">
        <v>31</v>
      </c>
      <c r="N263" s="9">
        <v>63.16</v>
      </c>
      <c r="O263" s="9">
        <v>16.3</v>
      </c>
      <c r="P263" s="52">
        <f t="shared" si="43"/>
        <v>46.86</v>
      </c>
      <c r="Q263" s="11">
        <v>535</v>
      </c>
      <c r="R263" s="12">
        <f t="shared" si="44"/>
        <v>25070.1</v>
      </c>
      <c r="S263" s="11"/>
      <c r="T263" s="13"/>
      <c r="V263" s="19" t="s">
        <v>24</v>
      </c>
      <c r="W263" s="11">
        <v>145</v>
      </c>
      <c r="X263" s="14">
        <f t="shared" si="40"/>
        <v>6794.7</v>
      </c>
      <c r="Y263" s="15">
        <v>200</v>
      </c>
      <c r="Z263" s="15">
        <f t="shared" si="41"/>
        <v>9372</v>
      </c>
      <c r="AA263" s="13">
        <f t="shared" si="42"/>
        <v>41236.800000000003</v>
      </c>
    </row>
    <row r="264" spans="1:40" s="16" customFormat="1" x14ac:dyDescent="0.3">
      <c r="A264" s="18">
        <v>263</v>
      </c>
      <c r="B264" s="8">
        <v>46276</v>
      </c>
      <c r="C264" s="8">
        <v>46277</v>
      </c>
      <c r="D264" s="44">
        <v>260912005</v>
      </c>
      <c r="E264" s="22" t="s">
        <v>630</v>
      </c>
      <c r="F264" s="9" t="s">
        <v>631</v>
      </c>
      <c r="G264" s="9">
        <v>30</v>
      </c>
      <c r="H264" s="37">
        <v>131</v>
      </c>
      <c r="I264" s="26" t="s">
        <v>280</v>
      </c>
      <c r="J264" s="36" t="s">
        <v>23</v>
      </c>
      <c r="K264" s="26" t="s">
        <v>30</v>
      </c>
      <c r="L264" s="45" t="s">
        <v>111</v>
      </c>
      <c r="M264" s="9" t="s">
        <v>31</v>
      </c>
      <c r="N264" s="9">
        <v>42.22</v>
      </c>
      <c r="O264" s="9">
        <v>11.98</v>
      </c>
      <c r="P264" s="52">
        <f t="shared" si="43"/>
        <v>30.24</v>
      </c>
      <c r="Q264" s="11">
        <v>535</v>
      </c>
      <c r="R264" s="12">
        <f t="shared" si="44"/>
        <v>16178.4</v>
      </c>
      <c r="S264" s="11"/>
      <c r="T264" s="13"/>
      <c r="V264" s="19" t="s">
        <v>24</v>
      </c>
      <c r="W264" s="11">
        <v>145</v>
      </c>
      <c r="X264" s="14">
        <f t="shared" si="40"/>
        <v>4384.8</v>
      </c>
      <c r="Y264" s="15">
        <v>200</v>
      </c>
      <c r="Z264" s="15">
        <f t="shared" si="41"/>
        <v>6048</v>
      </c>
      <c r="AA264" s="13">
        <f t="shared" si="42"/>
        <v>26611.200000000001</v>
      </c>
    </row>
    <row r="265" spans="1:40" s="16" customFormat="1" x14ac:dyDescent="0.3">
      <c r="A265" s="18">
        <v>264</v>
      </c>
      <c r="B265" s="8">
        <v>46276</v>
      </c>
      <c r="C265" s="8">
        <v>46277</v>
      </c>
      <c r="D265" s="44">
        <v>260912006</v>
      </c>
      <c r="E265" s="22" t="s">
        <v>632</v>
      </c>
      <c r="F265" s="9" t="s">
        <v>633</v>
      </c>
      <c r="G265" s="9">
        <v>30</v>
      </c>
      <c r="H265" s="37">
        <v>131</v>
      </c>
      <c r="I265" s="26" t="s">
        <v>280</v>
      </c>
      <c r="J265" s="36" t="s">
        <v>23</v>
      </c>
      <c r="K265" s="26" t="s">
        <v>30</v>
      </c>
      <c r="L265" s="45" t="s">
        <v>166</v>
      </c>
      <c r="M265" s="9" t="s">
        <v>31</v>
      </c>
      <c r="N265" s="9">
        <v>41.86</v>
      </c>
      <c r="O265" s="9">
        <v>11.72</v>
      </c>
      <c r="P265" s="52">
        <f t="shared" si="43"/>
        <v>30.14</v>
      </c>
      <c r="Q265" s="11">
        <v>535</v>
      </c>
      <c r="R265" s="12">
        <f t="shared" si="44"/>
        <v>16124.9</v>
      </c>
      <c r="S265" s="11"/>
      <c r="T265" s="13"/>
      <c r="V265" s="19" t="s">
        <v>24</v>
      </c>
      <c r="W265" s="11">
        <v>145</v>
      </c>
      <c r="X265" s="14">
        <f t="shared" si="40"/>
        <v>4370.3</v>
      </c>
      <c r="Y265" s="15">
        <v>200</v>
      </c>
      <c r="Z265" s="15">
        <f t="shared" si="41"/>
        <v>6028</v>
      </c>
      <c r="AA265" s="13">
        <f t="shared" si="42"/>
        <v>26523.200000000001</v>
      </c>
    </row>
    <row r="266" spans="1:40" s="16" customFormat="1" x14ac:dyDescent="0.3">
      <c r="A266" s="18">
        <v>265</v>
      </c>
      <c r="B266" s="8">
        <v>46276</v>
      </c>
      <c r="C266" s="8">
        <v>46277</v>
      </c>
      <c r="D266" s="44">
        <v>260912007</v>
      </c>
      <c r="E266" s="22" t="s">
        <v>634</v>
      </c>
      <c r="F266" s="9" t="s">
        <v>635</v>
      </c>
      <c r="G266" s="9">
        <v>41</v>
      </c>
      <c r="H266" s="37">
        <v>131</v>
      </c>
      <c r="I266" s="26" t="s">
        <v>280</v>
      </c>
      <c r="J266" s="36" t="s">
        <v>23</v>
      </c>
      <c r="K266" s="26" t="s">
        <v>30</v>
      </c>
      <c r="L266" s="45" t="s">
        <v>324</v>
      </c>
      <c r="M266" s="9" t="s">
        <v>108</v>
      </c>
      <c r="N266" s="9">
        <v>57.2</v>
      </c>
      <c r="O266" s="9">
        <v>15.4</v>
      </c>
      <c r="P266" s="52">
        <f t="shared" si="43"/>
        <v>41.800000000000004</v>
      </c>
      <c r="Q266" s="11">
        <v>285</v>
      </c>
      <c r="R266" s="12">
        <f t="shared" si="44"/>
        <v>11913.000000000002</v>
      </c>
      <c r="S266" s="11"/>
      <c r="T266" s="13"/>
      <c r="V266" s="19" t="s">
        <v>24</v>
      </c>
      <c r="W266" s="11">
        <v>145</v>
      </c>
      <c r="X266" s="14">
        <f t="shared" si="40"/>
        <v>6061.0000000000009</v>
      </c>
      <c r="Y266" s="15">
        <v>200</v>
      </c>
      <c r="Z266" s="15">
        <f t="shared" si="41"/>
        <v>8360</v>
      </c>
      <c r="AA266" s="13">
        <f t="shared" si="42"/>
        <v>26334.000000000004</v>
      </c>
    </row>
    <row r="267" spans="1:40" s="16" customFormat="1" x14ac:dyDescent="0.3">
      <c r="A267" s="18">
        <v>266</v>
      </c>
      <c r="B267" s="8">
        <v>46276</v>
      </c>
      <c r="C267" s="8">
        <v>46277</v>
      </c>
      <c r="D267" s="44">
        <v>260912008</v>
      </c>
      <c r="E267" s="22" t="s">
        <v>636</v>
      </c>
      <c r="F267" s="9" t="s">
        <v>637</v>
      </c>
      <c r="G267" s="9">
        <v>30</v>
      </c>
      <c r="H267" s="37">
        <v>131</v>
      </c>
      <c r="I267" s="26" t="s">
        <v>280</v>
      </c>
      <c r="J267" s="36" t="s">
        <v>23</v>
      </c>
      <c r="K267" s="26" t="s">
        <v>30</v>
      </c>
      <c r="L267" s="45" t="s">
        <v>162</v>
      </c>
      <c r="M267" s="9" t="s">
        <v>108</v>
      </c>
      <c r="N267" s="9">
        <v>42.48</v>
      </c>
      <c r="O267" s="9">
        <v>11.76</v>
      </c>
      <c r="P267" s="52">
        <f t="shared" si="43"/>
        <v>30.72</v>
      </c>
      <c r="Q267" s="11">
        <v>285</v>
      </c>
      <c r="R267" s="12">
        <f t="shared" si="44"/>
        <v>8755.1999999999989</v>
      </c>
      <c r="S267" s="11"/>
      <c r="T267" s="13"/>
      <c r="V267" s="19" t="s">
        <v>24</v>
      </c>
      <c r="W267" s="11">
        <v>145</v>
      </c>
      <c r="X267" s="14">
        <f t="shared" si="40"/>
        <v>4454.3999999999996</v>
      </c>
      <c r="Y267" s="15">
        <v>200</v>
      </c>
      <c r="Z267" s="15">
        <f t="shared" si="41"/>
        <v>6144</v>
      </c>
      <c r="AA267" s="13">
        <f t="shared" si="42"/>
        <v>19353.599999999999</v>
      </c>
    </row>
    <row r="268" spans="1:40" s="16" customFormat="1" x14ac:dyDescent="0.3">
      <c r="A268" s="18">
        <v>267</v>
      </c>
      <c r="B268" s="8">
        <v>46276</v>
      </c>
      <c r="C268" s="8">
        <v>46277</v>
      </c>
      <c r="D268" s="44">
        <v>260912009</v>
      </c>
      <c r="E268" s="22" t="s">
        <v>638</v>
      </c>
      <c r="F268" s="9" t="s">
        <v>639</v>
      </c>
      <c r="G268" s="9"/>
      <c r="H268" s="37">
        <v>136</v>
      </c>
      <c r="I268" s="39" t="s">
        <v>69</v>
      </c>
      <c r="J268" s="36" t="s">
        <v>23</v>
      </c>
      <c r="K268" s="26" t="s">
        <v>30</v>
      </c>
      <c r="L268" s="45" t="s">
        <v>287</v>
      </c>
      <c r="M268" s="9" t="s">
        <v>71</v>
      </c>
      <c r="N268" s="9">
        <v>58.3</v>
      </c>
      <c r="O268" s="9">
        <v>15.9</v>
      </c>
      <c r="P268" s="52">
        <f t="shared" si="43"/>
        <v>42.4</v>
      </c>
      <c r="Q268" s="11">
        <v>260</v>
      </c>
      <c r="R268" s="12">
        <f t="shared" si="44"/>
        <v>11024</v>
      </c>
      <c r="S268" s="11"/>
      <c r="T268" s="13"/>
      <c r="V268" s="19" t="s">
        <v>24</v>
      </c>
      <c r="W268" s="11"/>
      <c r="X268" s="14">
        <f t="shared" si="40"/>
        <v>0</v>
      </c>
      <c r="Y268" s="15">
        <v>115</v>
      </c>
      <c r="Z268" s="15">
        <f t="shared" si="41"/>
        <v>4876</v>
      </c>
      <c r="AA268" s="13">
        <f t="shared" si="42"/>
        <v>15900</v>
      </c>
    </row>
    <row r="269" spans="1:40" s="16" customFormat="1" x14ac:dyDescent="0.3">
      <c r="A269" s="18">
        <v>268</v>
      </c>
      <c r="B269" s="8">
        <v>46276</v>
      </c>
      <c r="C269" s="8">
        <v>46277</v>
      </c>
      <c r="D269" s="44">
        <v>260912010</v>
      </c>
      <c r="E269" s="22" t="s">
        <v>640</v>
      </c>
      <c r="F269" s="9" t="s">
        <v>641</v>
      </c>
      <c r="G269" s="9"/>
      <c r="H269" s="37">
        <v>136</v>
      </c>
      <c r="I269" s="39" t="s">
        <v>69</v>
      </c>
      <c r="J269" s="36" t="s">
        <v>23</v>
      </c>
      <c r="K269" s="26" t="s">
        <v>30</v>
      </c>
      <c r="L269" s="45" t="s">
        <v>70</v>
      </c>
      <c r="M269" s="9" t="s">
        <v>71</v>
      </c>
      <c r="N269" s="9">
        <v>59.2</v>
      </c>
      <c r="O269" s="9">
        <v>15.8</v>
      </c>
      <c r="P269" s="52">
        <f t="shared" si="43"/>
        <v>43.400000000000006</v>
      </c>
      <c r="Q269" s="11">
        <v>260</v>
      </c>
      <c r="R269" s="12">
        <f t="shared" si="44"/>
        <v>11284.000000000002</v>
      </c>
      <c r="S269" s="11"/>
      <c r="T269" s="13"/>
      <c r="V269" s="19" t="s">
        <v>24</v>
      </c>
      <c r="W269" s="11"/>
      <c r="X269" s="14">
        <f t="shared" si="40"/>
        <v>0</v>
      </c>
      <c r="Y269" s="15">
        <v>115</v>
      </c>
      <c r="Z269" s="15">
        <f t="shared" si="41"/>
        <v>4991.0000000000009</v>
      </c>
      <c r="AA269" s="13">
        <f t="shared" si="42"/>
        <v>16275.000000000004</v>
      </c>
    </row>
    <row r="270" spans="1:40" s="16" customFormat="1" x14ac:dyDescent="0.3">
      <c r="A270" s="18">
        <v>269</v>
      </c>
      <c r="B270" s="8">
        <v>46276</v>
      </c>
      <c r="C270" s="8">
        <v>46277</v>
      </c>
      <c r="D270" s="44">
        <v>260912010</v>
      </c>
      <c r="E270" s="22" t="s">
        <v>642</v>
      </c>
      <c r="F270" s="9" t="s">
        <v>643</v>
      </c>
      <c r="G270" s="9">
        <v>45</v>
      </c>
      <c r="H270" s="41">
        <v>101</v>
      </c>
      <c r="I270" s="55" t="s">
        <v>644</v>
      </c>
      <c r="J270" s="56" t="s">
        <v>23</v>
      </c>
      <c r="K270" s="42" t="s">
        <v>30</v>
      </c>
      <c r="L270" s="45" t="s">
        <v>184</v>
      </c>
      <c r="M270" s="9" t="s">
        <v>108</v>
      </c>
      <c r="N270" s="47">
        <v>62</v>
      </c>
      <c r="O270" s="47">
        <v>16.46</v>
      </c>
      <c r="P270" s="52">
        <f t="shared" si="43"/>
        <v>45.54</v>
      </c>
      <c r="Q270" s="11">
        <v>335</v>
      </c>
      <c r="R270" s="12">
        <f t="shared" si="44"/>
        <v>15255.9</v>
      </c>
      <c r="S270" s="11"/>
      <c r="T270" s="13"/>
      <c r="V270" s="19" t="s">
        <v>24</v>
      </c>
      <c r="W270" s="11">
        <v>145</v>
      </c>
      <c r="X270" s="14">
        <f t="shared" si="40"/>
        <v>6603.3</v>
      </c>
      <c r="Y270" s="15">
        <v>300</v>
      </c>
      <c r="Z270" s="15">
        <f t="shared" si="41"/>
        <v>13662</v>
      </c>
      <c r="AA270" s="13">
        <f t="shared" si="42"/>
        <v>35521.199999999997</v>
      </c>
      <c r="AF270"/>
      <c r="AG270"/>
      <c r="AH270"/>
      <c r="AI270"/>
      <c r="AJ270"/>
      <c r="AK270"/>
      <c r="AL270"/>
      <c r="AM270"/>
      <c r="AN270"/>
    </row>
    <row r="271" spans="1:40" s="16" customFormat="1" x14ac:dyDescent="0.3">
      <c r="A271" s="18">
        <v>270</v>
      </c>
      <c r="B271" s="8">
        <v>46277</v>
      </c>
      <c r="C271" s="8">
        <v>46277</v>
      </c>
      <c r="D271" s="44">
        <v>260912012</v>
      </c>
      <c r="E271" s="22" t="s">
        <v>645</v>
      </c>
      <c r="F271" s="9" t="s">
        <v>646</v>
      </c>
      <c r="G271" s="9"/>
      <c r="H271" s="37">
        <v>136</v>
      </c>
      <c r="I271" s="39" t="s">
        <v>69</v>
      </c>
      <c r="J271" s="36" t="s">
        <v>23</v>
      </c>
      <c r="K271" s="26" t="s">
        <v>30</v>
      </c>
      <c r="L271" s="48" t="s">
        <v>74</v>
      </c>
      <c r="M271" s="9" t="s">
        <v>71</v>
      </c>
      <c r="N271" s="9">
        <v>58.6</v>
      </c>
      <c r="O271" s="9">
        <v>15.64</v>
      </c>
      <c r="P271" s="52">
        <f>N271-O271</f>
        <v>42.96</v>
      </c>
      <c r="Q271" s="11">
        <v>260</v>
      </c>
      <c r="R271" s="12">
        <f t="shared" si="44"/>
        <v>11169.6</v>
      </c>
      <c r="S271" s="11"/>
      <c r="T271" s="13"/>
      <c r="V271" s="19" t="s">
        <v>24</v>
      </c>
      <c r="W271" s="11"/>
      <c r="X271" s="14">
        <f t="shared" ref="X271:X302" si="45">P271*W271</f>
        <v>0</v>
      </c>
      <c r="Y271" s="15">
        <v>115</v>
      </c>
      <c r="Z271" s="15">
        <f t="shared" ref="Z271:Z302" si="46">P271*Y271</f>
        <v>4940.4000000000005</v>
      </c>
      <c r="AA271" s="13">
        <f t="shared" ref="AA271:AA302" si="47">R271+X271+Z271</f>
        <v>16110</v>
      </c>
      <c r="AB271" s="29"/>
    </row>
    <row r="272" spans="1:40" s="16" customFormat="1" x14ac:dyDescent="0.3">
      <c r="A272" s="18">
        <v>271</v>
      </c>
      <c r="B272" s="8">
        <v>46277</v>
      </c>
      <c r="C272" s="8">
        <v>46277</v>
      </c>
      <c r="D272" s="44">
        <v>260912013</v>
      </c>
      <c r="E272" s="22" t="s">
        <v>647</v>
      </c>
      <c r="F272" s="9" t="s">
        <v>648</v>
      </c>
      <c r="G272" s="9"/>
      <c r="H272" s="37">
        <v>136</v>
      </c>
      <c r="I272" s="39" t="s">
        <v>69</v>
      </c>
      <c r="J272" s="36" t="s">
        <v>23</v>
      </c>
      <c r="K272" s="26" t="s">
        <v>30</v>
      </c>
      <c r="L272" s="48" t="s">
        <v>257</v>
      </c>
      <c r="M272" s="9" t="s">
        <v>71</v>
      </c>
      <c r="N272" s="9">
        <v>45.32</v>
      </c>
      <c r="O272" s="9">
        <v>11.82</v>
      </c>
      <c r="P272" s="52">
        <f>N272-O272</f>
        <v>33.5</v>
      </c>
      <c r="Q272" s="11">
        <v>260</v>
      </c>
      <c r="R272" s="12">
        <f t="shared" si="44"/>
        <v>8710</v>
      </c>
      <c r="S272" s="11"/>
      <c r="T272" s="13"/>
      <c r="V272" s="19" t="s">
        <v>24</v>
      </c>
      <c r="W272" s="11"/>
      <c r="X272" s="14">
        <f t="shared" si="45"/>
        <v>0</v>
      </c>
      <c r="Y272" s="15">
        <v>115</v>
      </c>
      <c r="Z272" s="15">
        <f t="shared" si="46"/>
        <v>3852.5</v>
      </c>
      <c r="AA272" s="13">
        <f t="shared" si="47"/>
        <v>12562.5</v>
      </c>
    </row>
    <row r="273" spans="1:27" s="28" customFormat="1" x14ac:dyDescent="0.3">
      <c r="A273" s="18">
        <v>272</v>
      </c>
      <c r="B273" s="8">
        <v>46277</v>
      </c>
      <c r="C273" s="8">
        <v>46277</v>
      </c>
      <c r="D273" s="44">
        <v>260912014</v>
      </c>
      <c r="E273" s="22" t="s">
        <v>649</v>
      </c>
      <c r="F273" s="9" t="s">
        <v>650</v>
      </c>
      <c r="G273" s="9">
        <v>32</v>
      </c>
      <c r="H273" s="43">
        <v>42</v>
      </c>
      <c r="I273" s="26" t="s">
        <v>169</v>
      </c>
      <c r="J273" s="27" t="s">
        <v>23</v>
      </c>
      <c r="K273" s="26" t="s">
        <v>30</v>
      </c>
      <c r="L273" s="48" t="s">
        <v>166</v>
      </c>
      <c r="M273" s="9" t="s">
        <v>173</v>
      </c>
      <c r="N273" s="9">
        <v>44.38</v>
      </c>
      <c r="O273" s="9">
        <v>11.74</v>
      </c>
      <c r="P273" s="52">
        <f t="shared" ref="P273:P302" si="48">N273-O273</f>
        <v>32.64</v>
      </c>
      <c r="Q273" s="11">
        <v>470</v>
      </c>
      <c r="R273" s="12">
        <f t="shared" si="44"/>
        <v>15340.800000000001</v>
      </c>
      <c r="S273" s="11"/>
      <c r="T273" s="13"/>
      <c r="V273" s="19" t="s">
        <v>24</v>
      </c>
      <c r="W273" s="11">
        <v>145</v>
      </c>
      <c r="X273" s="14">
        <f t="shared" si="45"/>
        <v>4732.8</v>
      </c>
      <c r="Y273" s="15">
        <v>260</v>
      </c>
      <c r="Z273" s="15">
        <f t="shared" si="46"/>
        <v>8486.4</v>
      </c>
      <c r="AA273" s="13">
        <f t="shared" si="47"/>
        <v>28560</v>
      </c>
    </row>
    <row r="274" spans="1:27" s="16" customFormat="1" x14ac:dyDescent="0.3">
      <c r="A274" s="18">
        <v>273</v>
      </c>
      <c r="B274" s="8">
        <v>46277</v>
      </c>
      <c r="C274" s="8">
        <v>46277</v>
      </c>
      <c r="D274" s="44">
        <v>260912015</v>
      </c>
      <c r="E274" s="22" t="s">
        <v>651</v>
      </c>
      <c r="F274" s="9" t="s">
        <v>652</v>
      </c>
      <c r="G274" s="9">
        <v>46</v>
      </c>
      <c r="H274" s="43">
        <v>42</v>
      </c>
      <c r="I274" s="26" t="s">
        <v>169</v>
      </c>
      <c r="J274" s="27" t="s">
        <v>23</v>
      </c>
      <c r="K274" s="26" t="s">
        <v>30</v>
      </c>
      <c r="L274" s="48" t="s">
        <v>395</v>
      </c>
      <c r="M274" s="9" t="s">
        <v>31</v>
      </c>
      <c r="N274" s="9">
        <v>63.26</v>
      </c>
      <c r="O274" s="9">
        <v>16.36</v>
      </c>
      <c r="P274" s="52">
        <f t="shared" si="48"/>
        <v>46.9</v>
      </c>
      <c r="Q274" s="11">
        <v>525</v>
      </c>
      <c r="R274" s="12">
        <f t="shared" si="44"/>
        <v>24622.5</v>
      </c>
      <c r="S274" s="11"/>
      <c r="T274" s="13"/>
      <c r="V274" s="19" t="s">
        <v>24</v>
      </c>
      <c r="W274" s="11">
        <v>145</v>
      </c>
      <c r="X274" s="14">
        <f t="shared" si="45"/>
        <v>6800.5</v>
      </c>
      <c r="Y274" s="15">
        <v>260</v>
      </c>
      <c r="Z274" s="15">
        <f t="shared" si="46"/>
        <v>12194</v>
      </c>
      <c r="AA274" s="13">
        <f t="shared" si="47"/>
        <v>43617</v>
      </c>
    </row>
    <row r="275" spans="1:27" s="16" customFormat="1" x14ac:dyDescent="0.3">
      <c r="A275" s="18">
        <v>274</v>
      </c>
      <c r="B275" s="8">
        <v>46277</v>
      </c>
      <c r="C275" s="8">
        <v>46277</v>
      </c>
      <c r="D275" s="44">
        <v>260912016</v>
      </c>
      <c r="E275" s="22" t="s">
        <v>653</v>
      </c>
      <c r="F275" s="9" t="s">
        <v>654</v>
      </c>
      <c r="G275" s="9">
        <v>33</v>
      </c>
      <c r="H275" s="43">
        <v>42</v>
      </c>
      <c r="I275" s="26" t="s">
        <v>169</v>
      </c>
      <c r="J275" s="27" t="s">
        <v>23</v>
      </c>
      <c r="K275" s="26" t="s">
        <v>30</v>
      </c>
      <c r="L275" s="9" t="s">
        <v>104</v>
      </c>
      <c r="M275" s="9" t="s">
        <v>173</v>
      </c>
      <c r="N275" s="9">
        <v>45.42</v>
      </c>
      <c r="O275" s="9">
        <v>12.02</v>
      </c>
      <c r="P275" s="52">
        <f t="shared" si="48"/>
        <v>33.400000000000006</v>
      </c>
      <c r="Q275" s="11">
        <v>470</v>
      </c>
      <c r="R275" s="12">
        <f t="shared" si="44"/>
        <v>15698.000000000002</v>
      </c>
      <c r="S275" s="11"/>
      <c r="T275" s="13"/>
      <c r="V275" s="19" t="s">
        <v>24</v>
      </c>
      <c r="W275" s="11">
        <v>145</v>
      </c>
      <c r="X275" s="14">
        <f t="shared" si="45"/>
        <v>4843.0000000000009</v>
      </c>
      <c r="Y275" s="15">
        <v>260</v>
      </c>
      <c r="Z275" s="15">
        <f t="shared" si="46"/>
        <v>8684.0000000000018</v>
      </c>
      <c r="AA275" s="13">
        <f t="shared" si="47"/>
        <v>29225.000000000007</v>
      </c>
    </row>
    <row r="276" spans="1:27" s="28" customFormat="1" x14ac:dyDescent="0.3">
      <c r="A276" s="18">
        <v>275</v>
      </c>
      <c r="B276" s="8">
        <v>46277</v>
      </c>
      <c r="C276" s="8">
        <v>46277</v>
      </c>
      <c r="D276" s="44">
        <v>260912017</v>
      </c>
      <c r="E276" s="22" t="s">
        <v>655</v>
      </c>
      <c r="F276" s="9" t="s">
        <v>656</v>
      </c>
      <c r="G276" s="9">
        <v>41</v>
      </c>
      <c r="H276" s="43">
        <v>42</v>
      </c>
      <c r="I276" s="26" t="s">
        <v>169</v>
      </c>
      <c r="J276" s="27" t="s">
        <v>23</v>
      </c>
      <c r="K276" s="26" t="s">
        <v>30</v>
      </c>
      <c r="L276" s="48" t="s">
        <v>324</v>
      </c>
      <c r="M276" s="9" t="s">
        <v>108</v>
      </c>
      <c r="N276" s="9">
        <v>57.22</v>
      </c>
      <c r="O276" s="9">
        <v>15.48</v>
      </c>
      <c r="P276" s="52">
        <f t="shared" si="48"/>
        <v>41.739999999999995</v>
      </c>
      <c r="Q276" s="11">
        <v>340</v>
      </c>
      <c r="R276" s="12">
        <f t="shared" si="44"/>
        <v>14191.599999999999</v>
      </c>
      <c r="S276" s="11"/>
      <c r="T276" s="13"/>
      <c r="V276" s="19" t="s">
        <v>24</v>
      </c>
      <c r="W276" s="11">
        <v>145</v>
      </c>
      <c r="X276" s="14">
        <f t="shared" si="45"/>
        <v>6052.2999999999993</v>
      </c>
      <c r="Y276" s="15">
        <v>260</v>
      </c>
      <c r="Z276" s="15">
        <f t="shared" si="46"/>
        <v>10852.399999999998</v>
      </c>
      <c r="AA276" s="13">
        <f t="shared" si="47"/>
        <v>31096.299999999996</v>
      </c>
    </row>
    <row r="277" spans="1:27" s="16" customFormat="1" x14ac:dyDescent="0.3">
      <c r="A277" s="18">
        <v>276</v>
      </c>
      <c r="B277" s="8">
        <v>46277</v>
      </c>
      <c r="C277" s="8">
        <v>46277</v>
      </c>
      <c r="D277" s="44">
        <v>260912018</v>
      </c>
      <c r="E277" s="22" t="s">
        <v>657</v>
      </c>
      <c r="F277" s="9" t="s">
        <v>658</v>
      </c>
      <c r="G277" s="9"/>
      <c r="H277" s="37">
        <v>136</v>
      </c>
      <c r="I277" s="39" t="s">
        <v>69</v>
      </c>
      <c r="J277" s="36" t="s">
        <v>23</v>
      </c>
      <c r="K277" s="26" t="s">
        <v>30</v>
      </c>
      <c r="L277" s="48" t="s">
        <v>274</v>
      </c>
      <c r="M277" s="9" t="s">
        <v>71</v>
      </c>
      <c r="N277" s="9">
        <v>44.14</v>
      </c>
      <c r="O277" s="9">
        <v>11.98</v>
      </c>
      <c r="P277" s="52">
        <f t="shared" si="48"/>
        <v>32.159999999999997</v>
      </c>
      <c r="Q277" s="11">
        <v>260</v>
      </c>
      <c r="R277" s="12">
        <f t="shared" si="44"/>
        <v>8361.5999999999985</v>
      </c>
      <c r="S277" s="11"/>
      <c r="T277" s="13"/>
      <c r="V277" s="19" t="s">
        <v>24</v>
      </c>
      <c r="W277" s="11"/>
      <c r="X277" s="14">
        <f t="shared" si="45"/>
        <v>0</v>
      </c>
      <c r="Y277" s="15">
        <v>115</v>
      </c>
      <c r="Z277" s="15">
        <f t="shared" si="46"/>
        <v>3698.3999999999996</v>
      </c>
      <c r="AA277" s="13">
        <f t="shared" si="47"/>
        <v>12059.999999999998</v>
      </c>
    </row>
    <row r="278" spans="1:27" s="16" customFormat="1" x14ac:dyDescent="0.3">
      <c r="A278" s="18">
        <v>277</v>
      </c>
      <c r="B278" s="8">
        <v>46277</v>
      </c>
      <c r="C278" s="8">
        <v>46277</v>
      </c>
      <c r="D278" s="44">
        <v>260912019</v>
      </c>
      <c r="E278" s="22" t="s">
        <v>659</v>
      </c>
      <c r="F278" s="9" t="s">
        <v>660</v>
      </c>
      <c r="G278" s="9"/>
      <c r="H278" s="37">
        <v>136</v>
      </c>
      <c r="I278" s="39" t="s">
        <v>69</v>
      </c>
      <c r="J278" s="36" t="s">
        <v>23</v>
      </c>
      <c r="K278" s="26" t="s">
        <v>30</v>
      </c>
      <c r="L278" s="48" t="s">
        <v>597</v>
      </c>
      <c r="M278" s="9" t="s">
        <v>71</v>
      </c>
      <c r="N278" s="9">
        <v>61.7</v>
      </c>
      <c r="O278" s="9">
        <v>15.72</v>
      </c>
      <c r="P278" s="52">
        <f t="shared" si="48"/>
        <v>45.980000000000004</v>
      </c>
      <c r="Q278" s="11">
        <v>260</v>
      </c>
      <c r="R278" s="12">
        <f t="shared" si="44"/>
        <v>11954.800000000001</v>
      </c>
      <c r="S278" s="11"/>
      <c r="T278" s="13"/>
      <c r="V278" s="19" t="s">
        <v>24</v>
      </c>
      <c r="W278" s="11"/>
      <c r="X278" s="14">
        <f t="shared" si="45"/>
        <v>0</v>
      </c>
      <c r="Y278" s="15">
        <v>115</v>
      </c>
      <c r="Z278" s="15">
        <f t="shared" si="46"/>
        <v>5287.7000000000007</v>
      </c>
      <c r="AA278" s="13">
        <f t="shared" si="47"/>
        <v>17242.5</v>
      </c>
    </row>
    <row r="279" spans="1:27" s="16" customFormat="1" x14ac:dyDescent="0.3">
      <c r="A279" s="18">
        <v>278</v>
      </c>
      <c r="B279" s="8">
        <v>46277</v>
      </c>
      <c r="C279" s="8">
        <v>46277</v>
      </c>
      <c r="D279" s="44">
        <v>260912020</v>
      </c>
      <c r="E279" s="22" t="s">
        <v>661</v>
      </c>
      <c r="F279" s="9" t="s">
        <v>662</v>
      </c>
      <c r="G279" s="9"/>
      <c r="H279" s="37">
        <v>136</v>
      </c>
      <c r="I279" s="39" t="s">
        <v>69</v>
      </c>
      <c r="J279" s="36" t="s">
        <v>23</v>
      </c>
      <c r="K279" s="26" t="s">
        <v>30</v>
      </c>
      <c r="L279" s="48" t="s">
        <v>604</v>
      </c>
      <c r="M279" s="9" t="s">
        <v>71</v>
      </c>
      <c r="N279" s="9">
        <v>59.54</v>
      </c>
      <c r="O279" s="9">
        <v>16.059999999999999</v>
      </c>
      <c r="P279" s="52">
        <f t="shared" si="48"/>
        <v>43.480000000000004</v>
      </c>
      <c r="Q279" s="11">
        <v>260</v>
      </c>
      <c r="R279" s="12">
        <f t="shared" si="44"/>
        <v>11304.800000000001</v>
      </c>
      <c r="S279" s="11"/>
      <c r="T279" s="13"/>
      <c r="V279" s="19" t="s">
        <v>24</v>
      </c>
      <c r="W279" s="11"/>
      <c r="X279" s="14">
        <f t="shared" si="45"/>
        <v>0</v>
      </c>
      <c r="Y279" s="15">
        <v>115</v>
      </c>
      <c r="Z279" s="15">
        <f t="shared" si="46"/>
        <v>5000.2000000000007</v>
      </c>
      <c r="AA279" s="13">
        <f t="shared" si="47"/>
        <v>16305.000000000002</v>
      </c>
    </row>
    <row r="280" spans="1:27" s="16" customFormat="1" x14ac:dyDescent="0.3">
      <c r="A280" s="18">
        <v>279</v>
      </c>
      <c r="B280" s="8">
        <v>46277</v>
      </c>
      <c r="C280" s="8">
        <v>46277</v>
      </c>
      <c r="D280" s="44">
        <v>260912021</v>
      </c>
      <c r="E280" s="22" t="s">
        <v>663</v>
      </c>
      <c r="F280" s="9" t="s">
        <v>664</v>
      </c>
      <c r="G280" s="9"/>
      <c r="H280" s="37">
        <v>136</v>
      </c>
      <c r="I280" s="39" t="s">
        <v>69</v>
      </c>
      <c r="J280" s="36" t="s">
        <v>23</v>
      </c>
      <c r="K280" s="26" t="s">
        <v>30</v>
      </c>
      <c r="L280" s="48" t="s">
        <v>74</v>
      </c>
      <c r="M280" s="9" t="s">
        <v>71</v>
      </c>
      <c r="N280" s="9">
        <v>61.6</v>
      </c>
      <c r="O280" s="9">
        <v>15.64</v>
      </c>
      <c r="P280" s="52">
        <f>N280-O280</f>
        <v>45.96</v>
      </c>
      <c r="Q280" s="11">
        <v>260</v>
      </c>
      <c r="R280" s="12">
        <f t="shared" si="44"/>
        <v>11949.6</v>
      </c>
      <c r="S280" s="11"/>
      <c r="T280" s="13"/>
      <c r="V280" s="19" t="s">
        <v>24</v>
      </c>
      <c r="W280" s="11"/>
      <c r="X280" s="14">
        <f t="shared" si="45"/>
        <v>0</v>
      </c>
      <c r="Y280" s="15">
        <v>115</v>
      </c>
      <c r="Z280" s="15">
        <f t="shared" si="46"/>
        <v>5285.4000000000005</v>
      </c>
      <c r="AA280" s="13">
        <f t="shared" si="47"/>
        <v>17235</v>
      </c>
    </row>
    <row r="281" spans="1:27" s="16" customFormat="1" x14ac:dyDescent="0.3">
      <c r="A281" s="18">
        <v>280</v>
      </c>
      <c r="B281" s="8">
        <v>46277</v>
      </c>
      <c r="C281" s="8">
        <v>46277</v>
      </c>
      <c r="D281" s="44">
        <v>260912022</v>
      </c>
      <c r="E281" s="22" t="s">
        <v>665</v>
      </c>
      <c r="F281" s="9" t="s">
        <v>666</v>
      </c>
      <c r="G281" s="9"/>
      <c r="H281" s="37">
        <v>136</v>
      </c>
      <c r="I281" s="39" t="s">
        <v>69</v>
      </c>
      <c r="J281" s="36" t="s">
        <v>23</v>
      </c>
      <c r="K281" s="26" t="s">
        <v>30</v>
      </c>
      <c r="L281" s="48" t="s">
        <v>82</v>
      </c>
      <c r="M281" s="9" t="s">
        <v>71</v>
      </c>
      <c r="N281" s="9">
        <v>62.36</v>
      </c>
      <c r="O281" s="9">
        <v>15.68</v>
      </c>
      <c r="P281" s="52">
        <f t="shared" si="48"/>
        <v>46.68</v>
      </c>
      <c r="Q281" s="11">
        <v>260</v>
      </c>
      <c r="R281" s="12">
        <f t="shared" si="44"/>
        <v>12136.8</v>
      </c>
      <c r="S281" s="11"/>
      <c r="T281" s="13"/>
      <c r="V281" s="19" t="s">
        <v>24</v>
      </c>
      <c r="W281" s="11"/>
      <c r="X281" s="14">
        <f t="shared" si="45"/>
        <v>0</v>
      </c>
      <c r="Y281" s="15">
        <v>115</v>
      </c>
      <c r="Z281" s="15">
        <f t="shared" si="46"/>
        <v>5368.2</v>
      </c>
      <c r="AA281" s="13">
        <f t="shared" si="47"/>
        <v>17505</v>
      </c>
    </row>
    <row r="282" spans="1:27" s="16" customFormat="1" x14ac:dyDescent="0.3">
      <c r="A282" s="18">
        <v>281</v>
      </c>
      <c r="B282" s="8">
        <v>46277</v>
      </c>
      <c r="C282" s="8">
        <v>46277</v>
      </c>
      <c r="D282" s="44">
        <v>260912023</v>
      </c>
      <c r="E282" s="22" t="s">
        <v>667</v>
      </c>
      <c r="F282" s="9" t="s">
        <v>668</v>
      </c>
      <c r="G282" s="9"/>
      <c r="H282" s="37">
        <v>136</v>
      </c>
      <c r="I282" s="39" t="s">
        <v>69</v>
      </c>
      <c r="J282" s="36" t="s">
        <v>23</v>
      </c>
      <c r="K282" s="26" t="s">
        <v>30</v>
      </c>
      <c r="L282" s="48" t="s">
        <v>70</v>
      </c>
      <c r="M282" s="9" t="s">
        <v>71</v>
      </c>
      <c r="N282" s="9">
        <v>60.5</v>
      </c>
      <c r="O282" s="9">
        <v>15.96</v>
      </c>
      <c r="P282" s="52">
        <f t="shared" si="48"/>
        <v>44.54</v>
      </c>
      <c r="Q282" s="11">
        <v>260</v>
      </c>
      <c r="R282" s="12">
        <f t="shared" si="44"/>
        <v>11580.4</v>
      </c>
      <c r="S282" s="11"/>
      <c r="T282" s="13"/>
      <c r="V282" s="19" t="s">
        <v>24</v>
      </c>
      <c r="W282" s="11"/>
      <c r="X282" s="14">
        <f t="shared" si="45"/>
        <v>0</v>
      </c>
      <c r="Y282" s="15">
        <v>115</v>
      </c>
      <c r="Z282" s="15">
        <f t="shared" si="46"/>
        <v>5122.0999999999995</v>
      </c>
      <c r="AA282" s="13">
        <f t="shared" si="47"/>
        <v>16702.5</v>
      </c>
    </row>
    <row r="283" spans="1:27" s="16" customFormat="1" x14ac:dyDescent="0.3">
      <c r="A283" s="18">
        <v>282</v>
      </c>
      <c r="B283" s="8">
        <v>46277</v>
      </c>
      <c r="C283" s="8">
        <v>46277</v>
      </c>
      <c r="D283" s="44">
        <v>260912024</v>
      </c>
      <c r="E283" s="22" t="s">
        <v>669</v>
      </c>
      <c r="F283" s="9" t="s">
        <v>670</v>
      </c>
      <c r="G283" s="9"/>
      <c r="H283" s="37">
        <v>136</v>
      </c>
      <c r="I283" s="39" t="s">
        <v>69</v>
      </c>
      <c r="J283" s="36" t="s">
        <v>23</v>
      </c>
      <c r="K283" s="26" t="s">
        <v>30</v>
      </c>
      <c r="L283" s="48" t="s">
        <v>277</v>
      </c>
      <c r="M283" s="9" t="s">
        <v>71</v>
      </c>
      <c r="N283" s="9">
        <v>47.14</v>
      </c>
      <c r="O283" s="9">
        <v>12.22</v>
      </c>
      <c r="P283" s="52">
        <f t="shared" si="48"/>
        <v>34.92</v>
      </c>
      <c r="Q283" s="11">
        <v>260</v>
      </c>
      <c r="R283" s="12">
        <f t="shared" si="44"/>
        <v>9079.2000000000007</v>
      </c>
      <c r="S283" s="11"/>
      <c r="T283" s="13"/>
      <c r="V283" s="19" t="s">
        <v>24</v>
      </c>
      <c r="W283" s="11"/>
      <c r="X283" s="14">
        <f t="shared" si="45"/>
        <v>0</v>
      </c>
      <c r="Y283" s="15">
        <v>115</v>
      </c>
      <c r="Z283" s="15">
        <f t="shared" si="46"/>
        <v>4015.8</v>
      </c>
      <c r="AA283" s="13">
        <f t="shared" si="47"/>
        <v>13095</v>
      </c>
    </row>
    <row r="284" spans="1:27" s="16" customFormat="1" x14ac:dyDescent="0.3">
      <c r="A284" s="18">
        <v>283</v>
      </c>
      <c r="B284" s="8">
        <v>46277</v>
      </c>
      <c r="C284" s="8">
        <v>46277</v>
      </c>
      <c r="D284" s="44">
        <v>260912025</v>
      </c>
      <c r="E284" s="22" t="s">
        <v>671</v>
      </c>
      <c r="F284" s="9" t="s">
        <v>672</v>
      </c>
      <c r="G284" s="9"/>
      <c r="H284" s="37">
        <v>136</v>
      </c>
      <c r="I284" s="39" t="s">
        <v>69</v>
      </c>
      <c r="J284" s="36" t="s">
        <v>23</v>
      </c>
      <c r="K284" s="26" t="s">
        <v>30</v>
      </c>
      <c r="L284" s="48" t="s">
        <v>597</v>
      </c>
      <c r="M284" s="9" t="s">
        <v>71</v>
      </c>
      <c r="N284" s="9">
        <v>60.96</v>
      </c>
      <c r="O284" s="9">
        <v>15.78</v>
      </c>
      <c r="P284" s="52">
        <f t="shared" si="48"/>
        <v>45.18</v>
      </c>
      <c r="Q284" s="11">
        <v>260</v>
      </c>
      <c r="R284" s="12">
        <f t="shared" si="44"/>
        <v>11746.8</v>
      </c>
      <c r="S284" s="11"/>
      <c r="T284" s="13"/>
      <c r="V284" s="19" t="s">
        <v>24</v>
      </c>
      <c r="W284" s="11"/>
      <c r="X284" s="14">
        <f t="shared" si="45"/>
        <v>0</v>
      </c>
      <c r="Y284" s="15">
        <v>115</v>
      </c>
      <c r="Z284" s="15">
        <f t="shared" si="46"/>
        <v>5195.7</v>
      </c>
      <c r="AA284" s="13">
        <f t="shared" si="47"/>
        <v>16942.5</v>
      </c>
    </row>
    <row r="285" spans="1:27" s="16" customFormat="1" x14ac:dyDescent="0.3">
      <c r="A285" s="18">
        <v>284</v>
      </c>
      <c r="B285" s="8">
        <v>46277</v>
      </c>
      <c r="C285" s="8">
        <v>46277</v>
      </c>
      <c r="D285" s="44">
        <v>260912026</v>
      </c>
      <c r="E285" s="22" t="s">
        <v>673</v>
      </c>
      <c r="F285" s="9" t="s">
        <v>674</v>
      </c>
      <c r="G285" s="9"/>
      <c r="H285" s="37">
        <v>136</v>
      </c>
      <c r="I285" s="39" t="s">
        <v>69</v>
      </c>
      <c r="J285" s="36" t="s">
        <v>23</v>
      </c>
      <c r="K285" s="26" t="s">
        <v>30</v>
      </c>
      <c r="L285" s="48" t="s">
        <v>274</v>
      </c>
      <c r="M285" s="9" t="s">
        <v>71</v>
      </c>
      <c r="N285" s="9">
        <v>44.56</v>
      </c>
      <c r="O285" s="9">
        <v>12</v>
      </c>
      <c r="P285" s="52">
        <f t="shared" si="48"/>
        <v>32.56</v>
      </c>
      <c r="Q285" s="11">
        <v>260</v>
      </c>
      <c r="R285" s="12">
        <f t="shared" si="44"/>
        <v>8465.6</v>
      </c>
      <c r="S285" s="11"/>
      <c r="T285" s="13"/>
      <c r="V285" s="19" t="s">
        <v>24</v>
      </c>
      <c r="W285" s="11"/>
      <c r="X285" s="14">
        <f t="shared" si="45"/>
        <v>0</v>
      </c>
      <c r="Y285" s="15">
        <v>115</v>
      </c>
      <c r="Z285" s="15">
        <f t="shared" si="46"/>
        <v>3744.4</v>
      </c>
      <c r="AA285" s="13">
        <f t="shared" si="47"/>
        <v>12210</v>
      </c>
    </row>
    <row r="286" spans="1:27" s="16" customFormat="1" x14ac:dyDescent="0.3">
      <c r="A286" s="18">
        <v>285</v>
      </c>
      <c r="B286" s="8">
        <v>46277</v>
      </c>
      <c r="C286" s="8">
        <v>46277</v>
      </c>
      <c r="D286" s="57" t="s">
        <v>675</v>
      </c>
      <c r="E286" s="22"/>
      <c r="F286" s="9"/>
      <c r="G286" s="9"/>
      <c r="H286" s="9"/>
      <c r="I286" s="26" t="s">
        <v>676</v>
      </c>
      <c r="J286" s="36" t="s">
        <v>23</v>
      </c>
      <c r="K286" s="26" t="s">
        <v>30</v>
      </c>
      <c r="L286" s="48" t="s">
        <v>677</v>
      </c>
      <c r="M286" s="9" t="s">
        <v>31</v>
      </c>
      <c r="N286" s="9">
        <v>8.5399999999999991</v>
      </c>
      <c r="O286" s="9">
        <v>3.66</v>
      </c>
      <c r="P286" s="52">
        <f t="shared" si="48"/>
        <v>4.879999999999999</v>
      </c>
      <c r="Q286" s="11">
        <v>550</v>
      </c>
      <c r="R286" s="12">
        <f t="shared" si="44"/>
        <v>2683.9999999999995</v>
      </c>
      <c r="S286" s="11"/>
      <c r="T286" s="13"/>
      <c r="V286" s="19" t="s">
        <v>54</v>
      </c>
      <c r="W286" s="11"/>
      <c r="X286" s="14">
        <f t="shared" si="45"/>
        <v>0</v>
      </c>
      <c r="Y286" s="15"/>
      <c r="Z286" s="15">
        <f t="shared" si="46"/>
        <v>0</v>
      </c>
      <c r="AA286" s="13">
        <f t="shared" si="47"/>
        <v>2683.9999999999995</v>
      </c>
    </row>
    <row r="287" spans="1:27" s="16" customFormat="1" x14ac:dyDescent="0.3">
      <c r="A287" s="18">
        <v>286</v>
      </c>
      <c r="B287" s="8">
        <v>46277</v>
      </c>
      <c r="C287" s="8">
        <v>46277</v>
      </c>
      <c r="D287" s="49">
        <v>260912027</v>
      </c>
      <c r="E287" s="22" t="s">
        <v>678</v>
      </c>
      <c r="F287" s="9" t="s">
        <v>679</v>
      </c>
      <c r="G287" s="9"/>
      <c r="H287" s="37">
        <v>136</v>
      </c>
      <c r="I287" s="39" t="s">
        <v>69</v>
      </c>
      <c r="J287" s="36" t="s">
        <v>23</v>
      </c>
      <c r="K287" s="26" t="s">
        <v>30</v>
      </c>
      <c r="L287" s="11" t="s">
        <v>137</v>
      </c>
      <c r="M287" s="9" t="s">
        <v>71</v>
      </c>
      <c r="N287" s="9">
        <v>60.24</v>
      </c>
      <c r="O287" s="9">
        <v>15.7</v>
      </c>
      <c r="P287" s="52">
        <f t="shared" si="48"/>
        <v>44.540000000000006</v>
      </c>
      <c r="Q287" s="11">
        <v>260</v>
      </c>
      <c r="R287" s="12">
        <f t="shared" si="44"/>
        <v>11580.400000000001</v>
      </c>
      <c r="S287" s="11"/>
      <c r="T287" s="13"/>
      <c r="V287" s="19" t="s">
        <v>24</v>
      </c>
      <c r="W287" s="11"/>
      <c r="X287" s="14">
        <f t="shared" si="45"/>
        <v>0</v>
      </c>
      <c r="Y287" s="15">
        <v>115</v>
      </c>
      <c r="Z287" s="15">
        <f t="shared" si="46"/>
        <v>5122.1000000000004</v>
      </c>
      <c r="AA287" s="13">
        <f t="shared" si="47"/>
        <v>16702.5</v>
      </c>
    </row>
    <row r="288" spans="1:27" s="16" customFormat="1" x14ac:dyDescent="0.3">
      <c r="A288" s="18">
        <v>287</v>
      </c>
      <c r="B288" s="8">
        <v>46277</v>
      </c>
      <c r="C288" s="8">
        <v>46277</v>
      </c>
      <c r="D288" s="44">
        <v>260912028</v>
      </c>
      <c r="E288" s="22" t="s">
        <v>680</v>
      </c>
      <c r="F288" s="9" t="s">
        <v>681</v>
      </c>
      <c r="G288" s="9"/>
      <c r="H288" s="37">
        <v>136</v>
      </c>
      <c r="I288" s="39" t="s">
        <v>69</v>
      </c>
      <c r="J288" s="36" t="s">
        <v>23</v>
      </c>
      <c r="K288" s="26" t="s">
        <v>30</v>
      </c>
      <c r="L288" s="48" t="s">
        <v>74</v>
      </c>
      <c r="M288" s="9" t="s">
        <v>71</v>
      </c>
      <c r="N288" s="9">
        <v>57.6</v>
      </c>
      <c r="O288" s="9">
        <v>16</v>
      </c>
      <c r="P288" s="52">
        <f t="shared" si="48"/>
        <v>41.6</v>
      </c>
      <c r="Q288" s="11">
        <v>260</v>
      </c>
      <c r="R288" s="12">
        <f t="shared" si="44"/>
        <v>10816</v>
      </c>
      <c r="S288" s="11"/>
      <c r="T288" s="13"/>
      <c r="V288" s="19" t="s">
        <v>24</v>
      </c>
      <c r="W288" s="11"/>
      <c r="X288" s="14">
        <f t="shared" si="45"/>
        <v>0</v>
      </c>
      <c r="Y288" s="15">
        <v>115</v>
      </c>
      <c r="Z288" s="15">
        <f t="shared" si="46"/>
        <v>4784</v>
      </c>
      <c r="AA288" s="13">
        <f t="shared" si="47"/>
        <v>15600</v>
      </c>
    </row>
    <row r="289" spans="1:28" s="16" customFormat="1" x14ac:dyDescent="0.3">
      <c r="A289" s="18">
        <v>288</v>
      </c>
      <c r="B289" s="8">
        <v>46277</v>
      </c>
      <c r="C289" s="8">
        <v>46277</v>
      </c>
      <c r="D289" s="17">
        <v>260912029</v>
      </c>
      <c r="E289" s="22" t="s">
        <v>682</v>
      </c>
      <c r="F289" s="9" t="s">
        <v>683</v>
      </c>
      <c r="G289" s="9"/>
      <c r="H289" s="37">
        <v>136</v>
      </c>
      <c r="I289" s="39" t="s">
        <v>69</v>
      </c>
      <c r="J289" s="36" t="s">
        <v>23</v>
      </c>
      <c r="K289" s="26" t="s">
        <v>30</v>
      </c>
      <c r="L289" s="48" t="s">
        <v>82</v>
      </c>
      <c r="M289" s="9" t="s">
        <v>71</v>
      </c>
      <c r="N289" s="9">
        <v>56.94</v>
      </c>
      <c r="O289" s="9">
        <v>15.52</v>
      </c>
      <c r="P289" s="52">
        <f t="shared" si="48"/>
        <v>41.42</v>
      </c>
      <c r="Q289" s="11">
        <v>260</v>
      </c>
      <c r="R289" s="12">
        <f t="shared" si="44"/>
        <v>10769.2</v>
      </c>
      <c r="S289" s="11"/>
      <c r="T289" s="13"/>
      <c r="V289" s="19" t="s">
        <v>24</v>
      </c>
      <c r="W289" s="11"/>
      <c r="X289" s="14">
        <f t="shared" si="45"/>
        <v>0</v>
      </c>
      <c r="Y289" s="15">
        <v>115</v>
      </c>
      <c r="Z289" s="15">
        <f t="shared" si="46"/>
        <v>4763.3</v>
      </c>
      <c r="AA289" s="13">
        <f t="shared" si="47"/>
        <v>15532.5</v>
      </c>
    </row>
    <row r="290" spans="1:28" s="16" customFormat="1" x14ac:dyDescent="0.3">
      <c r="A290" s="18">
        <v>289</v>
      </c>
      <c r="B290" s="8">
        <v>46277</v>
      </c>
      <c r="C290" s="8">
        <v>46277</v>
      </c>
      <c r="D290" s="17">
        <v>260912030</v>
      </c>
      <c r="E290" s="22" t="s">
        <v>684</v>
      </c>
      <c r="F290" s="9" t="s">
        <v>685</v>
      </c>
      <c r="G290" s="9"/>
      <c r="H290" s="37">
        <v>136</v>
      </c>
      <c r="I290" s="39" t="s">
        <v>69</v>
      </c>
      <c r="J290" s="36" t="s">
        <v>23</v>
      </c>
      <c r="K290" s="26" t="s">
        <v>30</v>
      </c>
      <c r="L290" s="48" t="s">
        <v>85</v>
      </c>
      <c r="M290" s="9" t="s">
        <v>71</v>
      </c>
      <c r="N290" s="9">
        <v>53.9</v>
      </c>
      <c r="O290" s="9">
        <v>14.16</v>
      </c>
      <c r="P290" s="52">
        <f t="shared" si="48"/>
        <v>39.739999999999995</v>
      </c>
      <c r="Q290" s="11">
        <v>260</v>
      </c>
      <c r="R290" s="12">
        <f t="shared" si="44"/>
        <v>10332.399999999998</v>
      </c>
      <c r="S290" s="11"/>
      <c r="T290" s="13"/>
      <c r="V290" s="19" t="s">
        <v>24</v>
      </c>
      <c r="W290" s="11"/>
      <c r="X290" s="14">
        <f t="shared" si="45"/>
        <v>0</v>
      </c>
      <c r="Y290" s="15">
        <v>115</v>
      </c>
      <c r="Z290" s="15">
        <f t="shared" si="46"/>
        <v>4570.0999999999995</v>
      </c>
      <c r="AA290" s="13">
        <f t="shared" si="47"/>
        <v>14902.499999999996</v>
      </c>
    </row>
    <row r="291" spans="1:28" s="16" customFormat="1" x14ac:dyDescent="0.3">
      <c r="A291" s="18">
        <v>290</v>
      </c>
      <c r="B291" s="8">
        <v>46277</v>
      </c>
      <c r="C291" s="8">
        <v>46277</v>
      </c>
      <c r="D291" s="17">
        <v>260912031</v>
      </c>
      <c r="E291" s="22" t="s">
        <v>686</v>
      </c>
      <c r="F291" s="9" t="s">
        <v>687</v>
      </c>
      <c r="G291" s="9"/>
      <c r="H291" s="37">
        <v>136</v>
      </c>
      <c r="I291" s="39" t="s">
        <v>69</v>
      </c>
      <c r="J291" s="36" t="s">
        <v>23</v>
      </c>
      <c r="K291" s="26" t="s">
        <v>30</v>
      </c>
      <c r="L291" s="48" t="s">
        <v>257</v>
      </c>
      <c r="M291" s="9" t="s">
        <v>71</v>
      </c>
      <c r="N291" s="9">
        <v>42.1</v>
      </c>
      <c r="O291" s="9">
        <v>11.76</v>
      </c>
      <c r="P291" s="52">
        <f t="shared" si="48"/>
        <v>30.340000000000003</v>
      </c>
      <c r="Q291" s="11">
        <v>260</v>
      </c>
      <c r="R291" s="12">
        <f t="shared" si="44"/>
        <v>7888.4000000000005</v>
      </c>
      <c r="S291" s="11"/>
      <c r="T291" s="13"/>
      <c r="V291" s="19" t="s">
        <v>24</v>
      </c>
      <c r="W291" s="11"/>
      <c r="X291" s="14">
        <f t="shared" si="45"/>
        <v>0</v>
      </c>
      <c r="Y291" s="15">
        <v>115</v>
      </c>
      <c r="Z291" s="15">
        <f t="shared" si="46"/>
        <v>3489.1000000000004</v>
      </c>
      <c r="AA291" s="13">
        <f t="shared" si="47"/>
        <v>11377.5</v>
      </c>
    </row>
    <row r="292" spans="1:28" s="16" customFormat="1" x14ac:dyDescent="0.3">
      <c r="A292" s="18">
        <v>291</v>
      </c>
      <c r="B292" s="8">
        <v>46277</v>
      </c>
      <c r="C292" s="8">
        <v>46277</v>
      </c>
      <c r="D292" s="17">
        <v>260912032</v>
      </c>
      <c r="E292" s="22" t="s">
        <v>688</v>
      </c>
      <c r="F292" s="9" t="s">
        <v>689</v>
      </c>
      <c r="G292" s="9"/>
      <c r="H292" s="37">
        <v>136</v>
      </c>
      <c r="I292" s="39" t="s">
        <v>69</v>
      </c>
      <c r="J292" s="36" t="s">
        <v>23</v>
      </c>
      <c r="K292" s="26" t="s">
        <v>30</v>
      </c>
      <c r="L292" s="48" t="s">
        <v>290</v>
      </c>
      <c r="M292" s="9" t="s">
        <v>71</v>
      </c>
      <c r="N292" s="9">
        <v>61.8</v>
      </c>
      <c r="O292" s="9">
        <v>15.78</v>
      </c>
      <c r="P292" s="52">
        <f t="shared" si="48"/>
        <v>46.019999999999996</v>
      </c>
      <c r="Q292" s="11">
        <v>260</v>
      </c>
      <c r="R292" s="12">
        <f t="shared" si="44"/>
        <v>11965.199999999999</v>
      </c>
      <c r="S292" s="11"/>
      <c r="T292" s="13"/>
      <c r="V292" s="19" t="s">
        <v>24</v>
      </c>
      <c r="W292" s="11"/>
      <c r="X292" s="14">
        <f t="shared" si="45"/>
        <v>0</v>
      </c>
      <c r="Y292" s="15">
        <v>115</v>
      </c>
      <c r="Z292" s="15">
        <f t="shared" si="46"/>
        <v>5292.2999999999993</v>
      </c>
      <c r="AA292" s="13">
        <f t="shared" si="47"/>
        <v>17257.5</v>
      </c>
    </row>
    <row r="293" spans="1:28" s="16" customFormat="1" x14ac:dyDescent="0.3">
      <c r="A293" s="18">
        <v>292</v>
      </c>
      <c r="B293" s="8">
        <v>46277</v>
      </c>
      <c r="C293" s="8">
        <v>46277</v>
      </c>
      <c r="D293" s="17">
        <v>260912033</v>
      </c>
      <c r="E293" s="22" t="s">
        <v>690</v>
      </c>
      <c r="F293" s="9" t="s">
        <v>691</v>
      </c>
      <c r="G293" s="9"/>
      <c r="H293" s="37">
        <v>136</v>
      </c>
      <c r="I293" s="39" t="s">
        <v>69</v>
      </c>
      <c r="J293" s="36" t="s">
        <v>23</v>
      </c>
      <c r="K293" s="26" t="s">
        <v>30</v>
      </c>
      <c r="L293" s="48" t="s">
        <v>287</v>
      </c>
      <c r="M293" s="9" t="s">
        <v>71</v>
      </c>
      <c r="N293" s="9">
        <v>57.28</v>
      </c>
      <c r="O293" s="9">
        <v>16.100000000000001</v>
      </c>
      <c r="P293" s="52">
        <f t="shared" si="48"/>
        <v>41.18</v>
      </c>
      <c r="Q293" s="11">
        <v>260</v>
      </c>
      <c r="R293" s="12">
        <f t="shared" si="44"/>
        <v>10706.8</v>
      </c>
      <c r="S293" s="11"/>
      <c r="T293" s="13"/>
      <c r="V293" s="19" t="s">
        <v>24</v>
      </c>
      <c r="W293" s="11"/>
      <c r="X293" s="14">
        <f t="shared" si="45"/>
        <v>0</v>
      </c>
      <c r="Y293" s="15">
        <v>115</v>
      </c>
      <c r="Z293" s="15">
        <f t="shared" si="46"/>
        <v>4735.7</v>
      </c>
      <c r="AA293" s="13">
        <f t="shared" si="47"/>
        <v>15442.5</v>
      </c>
    </row>
    <row r="294" spans="1:28" s="16" customFormat="1" x14ac:dyDescent="0.3">
      <c r="A294" s="18">
        <v>293</v>
      </c>
      <c r="B294" s="8">
        <v>46277</v>
      </c>
      <c r="C294" s="8">
        <v>46277</v>
      </c>
      <c r="D294" s="17">
        <v>260912034</v>
      </c>
      <c r="E294" s="22" t="s">
        <v>692</v>
      </c>
      <c r="F294" s="9" t="s">
        <v>693</v>
      </c>
      <c r="G294" s="9"/>
      <c r="H294" s="37">
        <v>136</v>
      </c>
      <c r="I294" s="39" t="s">
        <v>69</v>
      </c>
      <c r="J294" s="36" t="s">
        <v>23</v>
      </c>
      <c r="K294" s="26" t="s">
        <v>30</v>
      </c>
      <c r="L294" s="48" t="s">
        <v>604</v>
      </c>
      <c r="M294" s="9" t="s">
        <v>71</v>
      </c>
      <c r="N294" s="9">
        <v>62.06</v>
      </c>
      <c r="O294" s="9">
        <v>15.92</v>
      </c>
      <c r="P294" s="52">
        <f t="shared" si="48"/>
        <v>46.14</v>
      </c>
      <c r="Q294" s="11">
        <v>260</v>
      </c>
      <c r="R294" s="12">
        <f t="shared" si="44"/>
        <v>11996.4</v>
      </c>
      <c r="S294" s="11"/>
      <c r="T294" s="13"/>
      <c r="V294" s="19" t="s">
        <v>24</v>
      </c>
      <c r="W294" s="11"/>
      <c r="X294" s="14">
        <f t="shared" si="45"/>
        <v>0</v>
      </c>
      <c r="Y294" s="15">
        <v>115</v>
      </c>
      <c r="Z294" s="15">
        <f t="shared" si="46"/>
        <v>5306.1</v>
      </c>
      <c r="AA294" s="13">
        <f t="shared" si="47"/>
        <v>17302.5</v>
      </c>
    </row>
    <row r="295" spans="1:28" s="16" customFormat="1" x14ac:dyDescent="0.3">
      <c r="A295" s="18">
        <v>294</v>
      </c>
      <c r="B295" s="8">
        <v>46277</v>
      </c>
      <c r="C295" s="8">
        <v>46278</v>
      </c>
      <c r="D295" s="44">
        <v>260913001</v>
      </c>
      <c r="E295" s="22" t="s">
        <v>694</v>
      </c>
      <c r="F295" s="9" t="s">
        <v>695</v>
      </c>
      <c r="G295" s="9"/>
      <c r="H295" s="37">
        <v>136</v>
      </c>
      <c r="I295" s="39" t="s">
        <v>69</v>
      </c>
      <c r="J295" s="36" t="s">
        <v>23</v>
      </c>
      <c r="K295" s="26" t="s">
        <v>30</v>
      </c>
      <c r="L295" s="48" t="s">
        <v>70</v>
      </c>
      <c r="M295" s="9" t="s">
        <v>71</v>
      </c>
      <c r="N295" s="9">
        <v>57.5</v>
      </c>
      <c r="O295" s="9">
        <v>15.86</v>
      </c>
      <c r="P295" s="52">
        <f t="shared" si="48"/>
        <v>41.64</v>
      </c>
      <c r="Q295" s="11">
        <v>260</v>
      </c>
      <c r="R295" s="12">
        <f t="shared" si="44"/>
        <v>10826.4</v>
      </c>
      <c r="S295" s="11"/>
      <c r="T295" s="13"/>
      <c r="V295" s="19" t="s">
        <v>24</v>
      </c>
      <c r="W295" s="11"/>
      <c r="X295" s="14">
        <f t="shared" si="45"/>
        <v>0</v>
      </c>
      <c r="Y295" s="15">
        <v>115</v>
      </c>
      <c r="Z295" s="15">
        <f t="shared" si="46"/>
        <v>4788.6000000000004</v>
      </c>
      <c r="AA295" s="13">
        <f t="shared" si="47"/>
        <v>15615</v>
      </c>
    </row>
    <row r="296" spans="1:28" s="16" customFormat="1" x14ac:dyDescent="0.3">
      <c r="A296" s="18">
        <v>295</v>
      </c>
      <c r="B296" s="8">
        <v>46277</v>
      </c>
      <c r="C296" s="8">
        <v>46278</v>
      </c>
      <c r="D296" s="44">
        <v>260913002</v>
      </c>
      <c r="E296" s="22" t="s">
        <v>696</v>
      </c>
      <c r="F296" s="9" t="s">
        <v>697</v>
      </c>
      <c r="G296" s="9"/>
      <c r="H296" s="37">
        <v>136</v>
      </c>
      <c r="I296" s="39" t="s">
        <v>69</v>
      </c>
      <c r="J296" s="36" t="s">
        <v>23</v>
      </c>
      <c r="K296" s="26" t="s">
        <v>30</v>
      </c>
      <c r="L296" s="48" t="s">
        <v>228</v>
      </c>
      <c r="M296" s="9" t="s">
        <v>71</v>
      </c>
      <c r="N296" s="9">
        <v>44.92</v>
      </c>
      <c r="O296" s="9">
        <v>12.48</v>
      </c>
      <c r="P296" s="52">
        <f t="shared" si="48"/>
        <v>32.44</v>
      </c>
      <c r="Q296" s="11">
        <v>260</v>
      </c>
      <c r="R296" s="12">
        <f t="shared" si="44"/>
        <v>8434.4</v>
      </c>
      <c r="S296" s="11"/>
      <c r="T296" s="13"/>
      <c r="V296" s="19" t="s">
        <v>24</v>
      </c>
      <c r="W296" s="11"/>
      <c r="X296" s="14">
        <f t="shared" si="45"/>
        <v>0</v>
      </c>
      <c r="Y296" s="15">
        <v>115</v>
      </c>
      <c r="Z296" s="15">
        <f t="shared" si="46"/>
        <v>3730.6</v>
      </c>
      <c r="AA296" s="13">
        <f t="shared" si="47"/>
        <v>12165</v>
      </c>
    </row>
    <row r="297" spans="1:28" s="16" customFormat="1" x14ac:dyDescent="0.3">
      <c r="A297" s="18">
        <v>296</v>
      </c>
      <c r="B297" s="8">
        <v>46277</v>
      </c>
      <c r="C297" s="8">
        <v>46278</v>
      </c>
      <c r="D297" s="44">
        <v>260913003</v>
      </c>
      <c r="E297" s="22" t="s">
        <v>698</v>
      </c>
      <c r="F297" s="9" t="s">
        <v>699</v>
      </c>
      <c r="G297" s="9"/>
      <c r="H297" s="37">
        <v>136</v>
      </c>
      <c r="I297" s="39" t="s">
        <v>69</v>
      </c>
      <c r="J297" s="36" t="s">
        <v>23</v>
      </c>
      <c r="K297" s="26" t="s">
        <v>30</v>
      </c>
      <c r="L297" s="48" t="s">
        <v>137</v>
      </c>
      <c r="M297" s="9" t="s">
        <v>71</v>
      </c>
      <c r="N297" s="9">
        <v>56.88</v>
      </c>
      <c r="O297" s="9">
        <v>15.48</v>
      </c>
      <c r="P297" s="52">
        <f t="shared" si="48"/>
        <v>41.400000000000006</v>
      </c>
      <c r="Q297" s="11">
        <v>260</v>
      </c>
      <c r="R297" s="12">
        <f t="shared" si="44"/>
        <v>10764.000000000002</v>
      </c>
      <c r="S297" s="11"/>
      <c r="T297" s="13"/>
      <c r="V297" s="19" t="s">
        <v>24</v>
      </c>
      <c r="W297" s="11"/>
      <c r="X297" s="14">
        <f t="shared" si="45"/>
        <v>0</v>
      </c>
      <c r="Y297" s="15">
        <v>115</v>
      </c>
      <c r="Z297" s="15">
        <f t="shared" si="46"/>
        <v>4761.0000000000009</v>
      </c>
      <c r="AA297" s="13">
        <f t="shared" si="47"/>
        <v>15525.000000000004</v>
      </c>
    </row>
    <row r="298" spans="1:28" s="16" customFormat="1" x14ac:dyDescent="0.3">
      <c r="A298" s="18">
        <v>297</v>
      </c>
      <c r="B298" s="8">
        <v>46277</v>
      </c>
      <c r="C298" s="8">
        <v>46278</v>
      </c>
      <c r="D298" s="44">
        <v>260913004</v>
      </c>
      <c r="E298" s="22" t="s">
        <v>700</v>
      </c>
      <c r="F298" s="9" t="s">
        <v>701</v>
      </c>
      <c r="G298" s="9"/>
      <c r="H298" s="37">
        <v>136</v>
      </c>
      <c r="I298" s="39" t="s">
        <v>69</v>
      </c>
      <c r="J298" s="36" t="s">
        <v>23</v>
      </c>
      <c r="K298" s="26" t="s">
        <v>30</v>
      </c>
      <c r="L298" s="48" t="s">
        <v>277</v>
      </c>
      <c r="M298" s="9" t="s">
        <v>71</v>
      </c>
      <c r="N298" s="9">
        <v>44.86</v>
      </c>
      <c r="O298" s="9">
        <v>12.14</v>
      </c>
      <c r="P298" s="52">
        <f t="shared" si="48"/>
        <v>32.72</v>
      </c>
      <c r="Q298" s="11">
        <v>260</v>
      </c>
      <c r="R298" s="12">
        <f t="shared" si="44"/>
        <v>8507.1999999999989</v>
      </c>
      <c r="S298" s="11"/>
      <c r="T298" s="13"/>
      <c r="V298" s="19" t="s">
        <v>24</v>
      </c>
      <c r="W298" s="11"/>
      <c r="X298" s="14">
        <f t="shared" si="45"/>
        <v>0</v>
      </c>
      <c r="Y298" s="15">
        <v>115</v>
      </c>
      <c r="Z298" s="15">
        <f t="shared" si="46"/>
        <v>3762.7999999999997</v>
      </c>
      <c r="AA298" s="13">
        <f t="shared" si="47"/>
        <v>12269.999999999998</v>
      </c>
    </row>
    <row r="299" spans="1:28" s="16" customFormat="1" x14ac:dyDescent="0.3">
      <c r="A299" s="18">
        <v>298</v>
      </c>
      <c r="B299" s="8">
        <v>46277</v>
      </c>
      <c r="C299" s="8">
        <v>46278</v>
      </c>
      <c r="D299" s="44">
        <v>260913005</v>
      </c>
      <c r="E299" s="22" t="s">
        <v>702</v>
      </c>
      <c r="F299" s="9" t="s">
        <v>703</v>
      </c>
      <c r="G299" s="9"/>
      <c r="H299" s="37">
        <v>136</v>
      </c>
      <c r="I299" s="39" t="s">
        <v>69</v>
      </c>
      <c r="J299" s="36" t="s">
        <v>23</v>
      </c>
      <c r="K299" s="26" t="s">
        <v>30</v>
      </c>
      <c r="L299" s="48" t="s">
        <v>597</v>
      </c>
      <c r="M299" s="9" t="s">
        <v>71</v>
      </c>
      <c r="N299" s="9">
        <v>59.36</v>
      </c>
      <c r="O299" s="9">
        <v>15.64</v>
      </c>
      <c r="P299" s="52">
        <f t="shared" si="48"/>
        <v>43.72</v>
      </c>
      <c r="Q299" s="11">
        <v>260</v>
      </c>
      <c r="R299" s="12">
        <f t="shared" si="44"/>
        <v>11367.199999999999</v>
      </c>
      <c r="S299" s="11"/>
      <c r="T299" s="13"/>
      <c r="V299" s="19" t="s">
        <v>24</v>
      </c>
      <c r="W299" s="11"/>
      <c r="X299" s="14">
        <f t="shared" si="45"/>
        <v>0</v>
      </c>
      <c r="Y299" s="15">
        <v>115</v>
      </c>
      <c r="Z299" s="15">
        <f t="shared" si="46"/>
        <v>5027.8</v>
      </c>
      <c r="AA299" s="13">
        <f t="shared" si="47"/>
        <v>16395</v>
      </c>
    </row>
    <row r="300" spans="1:28" s="16" customFormat="1" x14ac:dyDescent="0.3">
      <c r="A300" s="18">
        <v>299</v>
      </c>
      <c r="B300" s="8">
        <v>46277</v>
      </c>
      <c r="C300" s="8">
        <v>46278</v>
      </c>
      <c r="D300" s="44">
        <v>260913006</v>
      </c>
      <c r="E300" s="22" t="s">
        <v>704</v>
      </c>
      <c r="F300" s="9" t="s">
        <v>705</v>
      </c>
      <c r="G300" s="9"/>
      <c r="H300" s="37">
        <v>136</v>
      </c>
      <c r="I300" s="39" t="s">
        <v>69</v>
      </c>
      <c r="J300" s="36" t="s">
        <v>23</v>
      </c>
      <c r="K300" s="26" t="s">
        <v>30</v>
      </c>
      <c r="L300" s="48" t="s">
        <v>74</v>
      </c>
      <c r="M300" s="9" t="s">
        <v>71</v>
      </c>
      <c r="N300" s="9">
        <v>60.36</v>
      </c>
      <c r="O300" s="9">
        <v>15.7</v>
      </c>
      <c r="P300" s="52">
        <f t="shared" si="48"/>
        <v>44.66</v>
      </c>
      <c r="Q300" s="11">
        <v>260</v>
      </c>
      <c r="R300" s="12">
        <f t="shared" si="44"/>
        <v>11611.599999999999</v>
      </c>
      <c r="S300" s="11"/>
      <c r="T300" s="13"/>
      <c r="V300" s="19" t="s">
        <v>24</v>
      </c>
      <c r="W300" s="11"/>
      <c r="X300" s="14">
        <f t="shared" si="45"/>
        <v>0</v>
      </c>
      <c r="Y300" s="15">
        <v>115</v>
      </c>
      <c r="Z300" s="15">
        <f t="shared" si="46"/>
        <v>5135.8999999999996</v>
      </c>
      <c r="AA300" s="13">
        <f t="shared" si="47"/>
        <v>16747.5</v>
      </c>
    </row>
    <row r="301" spans="1:28" s="16" customFormat="1" x14ac:dyDescent="0.3">
      <c r="A301" s="18">
        <v>300</v>
      </c>
      <c r="B301" s="8">
        <v>46277</v>
      </c>
      <c r="C301" s="8">
        <v>46278</v>
      </c>
      <c r="D301" s="44" t="s">
        <v>706</v>
      </c>
      <c r="E301" s="22"/>
      <c r="F301" s="9"/>
      <c r="G301" s="9"/>
      <c r="H301" s="9"/>
      <c r="I301" s="26" t="s">
        <v>707</v>
      </c>
      <c r="J301" s="36" t="s">
        <v>23</v>
      </c>
      <c r="K301" s="26" t="s">
        <v>30</v>
      </c>
      <c r="L301" s="45" t="s">
        <v>552</v>
      </c>
      <c r="M301" s="9" t="s">
        <v>31</v>
      </c>
      <c r="N301" s="9">
        <v>42.8</v>
      </c>
      <c r="O301" s="9">
        <v>12.22</v>
      </c>
      <c r="P301" s="52">
        <f t="shared" si="48"/>
        <v>30.58</v>
      </c>
      <c r="Q301" s="11">
        <v>530</v>
      </c>
      <c r="R301" s="12">
        <f t="shared" si="44"/>
        <v>16207.4</v>
      </c>
      <c r="S301" s="11"/>
      <c r="T301" s="13"/>
      <c r="V301" s="19" t="s">
        <v>54</v>
      </c>
      <c r="W301" s="11"/>
      <c r="X301" s="14">
        <f t="shared" si="45"/>
        <v>0</v>
      </c>
      <c r="Y301" s="15"/>
      <c r="Z301" s="15">
        <f t="shared" si="46"/>
        <v>0</v>
      </c>
      <c r="AA301" s="13">
        <f t="shared" si="47"/>
        <v>16207.4</v>
      </c>
    </row>
    <row r="302" spans="1:28" s="16" customFormat="1" x14ac:dyDescent="0.3">
      <c r="A302" s="18">
        <v>301</v>
      </c>
      <c r="B302" s="8">
        <v>46277</v>
      </c>
      <c r="C302" s="8">
        <v>46278</v>
      </c>
      <c r="D302" s="44">
        <v>260913007</v>
      </c>
      <c r="E302" s="22" t="s">
        <v>708</v>
      </c>
      <c r="F302" s="9" t="s">
        <v>709</v>
      </c>
      <c r="G302" s="9"/>
      <c r="H302" s="37">
        <v>136</v>
      </c>
      <c r="I302" s="39" t="s">
        <v>69</v>
      </c>
      <c r="J302" s="36" t="s">
        <v>23</v>
      </c>
      <c r="K302" s="26" t="s">
        <v>30</v>
      </c>
      <c r="L302" s="45" t="s">
        <v>85</v>
      </c>
      <c r="M302" s="9" t="s">
        <v>71</v>
      </c>
      <c r="N302" s="9">
        <v>56.22</v>
      </c>
      <c r="O302" s="9">
        <v>14.32</v>
      </c>
      <c r="P302" s="52">
        <f t="shared" si="48"/>
        <v>41.9</v>
      </c>
      <c r="Q302" s="11">
        <v>260</v>
      </c>
      <c r="R302" s="12">
        <f t="shared" si="44"/>
        <v>10894</v>
      </c>
      <c r="S302" s="11"/>
      <c r="T302" s="13"/>
      <c r="V302" s="19" t="s">
        <v>24</v>
      </c>
      <c r="W302" s="11"/>
      <c r="X302" s="14">
        <f t="shared" si="45"/>
        <v>0</v>
      </c>
      <c r="Y302" s="15">
        <v>115</v>
      </c>
      <c r="Z302" s="15">
        <f t="shared" si="46"/>
        <v>4818.5</v>
      </c>
      <c r="AA302" s="13">
        <f t="shared" si="47"/>
        <v>15712.5</v>
      </c>
    </row>
    <row r="303" spans="1:28" s="16" customFormat="1" x14ac:dyDescent="0.3">
      <c r="A303" s="18">
        <v>302</v>
      </c>
      <c r="B303" s="8">
        <v>46280</v>
      </c>
      <c r="C303" s="8">
        <v>46280</v>
      </c>
      <c r="D303" s="20" t="s">
        <v>710</v>
      </c>
      <c r="E303" s="22"/>
      <c r="F303" s="9"/>
      <c r="G303" s="9"/>
      <c r="H303" s="31"/>
      <c r="I303" s="39" t="s">
        <v>60</v>
      </c>
      <c r="J303" s="36" t="s">
        <v>23</v>
      </c>
      <c r="K303" s="26" t="s">
        <v>30</v>
      </c>
      <c r="L303" s="48" t="s">
        <v>61</v>
      </c>
      <c r="M303" s="9" t="s">
        <v>34</v>
      </c>
      <c r="N303" s="9">
        <v>36.44</v>
      </c>
      <c r="O303" s="9">
        <v>12.14</v>
      </c>
      <c r="P303" s="52">
        <f>N303-O303</f>
        <v>24.299999999999997</v>
      </c>
      <c r="Q303" s="11">
        <v>120</v>
      </c>
      <c r="R303" s="12">
        <f t="shared" si="44"/>
        <v>2915.9999999999995</v>
      </c>
      <c r="S303" s="11"/>
      <c r="T303" s="13"/>
      <c r="V303" s="19" t="s">
        <v>181</v>
      </c>
      <c r="W303" s="11"/>
      <c r="X303" s="14">
        <f t="shared" ref="X303:X328" si="49">P303*W303</f>
        <v>0</v>
      </c>
      <c r="Y303" s="15"/>
      <c r="Z303" s="15">
        <f t="shared" ref="Z303:Z328" si="50">P303*Y303</f>
        <v>0</v>
      </c>
      <c r="AA303" s="13">
        <f t="shared" ref="AA303:AA328" si="51">R303+X303+Z303</f>
        <v>2915.9999999999995</v>
      </c>
      <c r="AB303" s="29"/>
    </row>
    <row r="304" spans="1:28" s="16" customFormat="1" x14ac:dyDescent="0.3">
      <c r="A304" s="18">
        <v>303</v>
      </c>
      <c r="B304" s="8">
        <v>46280</v>
      </c>
      <c r="C304" s="8">
        <v>46280</v>
      </c>
      <c r="D304" s="20" t="s">
        <v>711</v>
      </c>
      <c r="E304" s="22"/>
      <c r="F304" s="9"/>
      <c r="G304" s="9"/>
      <c r="H304" s="31"/>
      <c r="I304" s="39" t="s">
        <v>333</v>
      </c>
      <c r="J304" s="36" t="s">
        <v>23</v>
      </c>
      <c r="K304" s="26" t="s">
        <v>30</v>
      </c>
      <c r="L304" s="48" t="s">
        <v>36</v>
      </c>
      <c r="M304" s="9" t="s">
        <v>34</v>
      </c>
      <c r="N304" s="9">
        <v>28.48</v>
      </c>
      <c r="O304" s="9">
        <v>14.34</v>
      </c>
      <c r="P304" s="52">
        <f>N304-O304</f>
        <v>14.14</v>
      </c>
      <c r="Q304" s="11">
        <v>0</v>
      </c>
      <c r="R304" s="12">
        <f t="shared" si="44"/>
        <v>0</v>
      </c>
      <c r="S304" s="11"/>
      <c r="T304" s="13"/>
      <c r="V304" s="19" t="s">
        <v>24</v>
      </c>
      <c r="W304" s="11"/>
      <c r="X304" s="14">
        <f t="shared" si="49"/>
        <v>0</v>
      </c>
      <c r="Y304" s="15"/>
      <c r="Z304" s="15">
        <f t="shared" si="50"/>
        <v>0</v>
      </c>
      <c r="AA304" s="13">
        <f t="shared" si="51"/>
        <v>0</v>
      </c>
    </row>
    <row r="305" spans="1:27" s="28" customFormat="1" x14ac:dyDescent="0.3">
      <c r="A305" s="18">
        <v>304</v>
      </c>
      <c r="B305" s="8">
        <v>46280</v>
      </c>
      <c r="C305" s="8">
        <v>46280</v>
      </c>
      <c r="D305" s="20" t="s">
        <v>712</v>
      </c>
      <c r="E305" s="22"/>
      <c r="F305" s="9"/>
      <c r="G305" s="9"/>
      <c r="H305" s="31"/>
      <c r="I305" s="39" t="s">
        <v>333</v>
      </c>
      <c r="J305" s="36" t="s">
        <v>23</v>
      </c>
      <c r="K305" s="26" t="s">
        <v>30</v>
      </c>
      <c r="L305" s="48" t="s">
        <v>43</v>
      </c>
      <c r="M305" s="9" t="s">
        <v>34</v>
      </c>
      <c r="N305" s="9">
        <v>33.200000000000003</v>
      </c>
      <c r="O305" s="9">
        <v>14.9</v>
      </c>
      <c r="P305" s="52">
        <f t="shared" ref="P305:P328" si="52">N305-O305</f>
        <v>18.300000000000004</v>
      </c>
      <c r="Q305" s="11">
        <v>0</v>
      </c>
      <c r="R305" s="12">
        <f t="shared" si="44"/>
        <v>0</v>
      </c>
      <c r="S305" s="11"/>
      <c r="T305" s="13"/>
      <c r="V305" s="19" t="s">
        <v>24</v>
      </c>
      <c r="W305" s="11"/>
      <c r="X305" s="14">
        <f t="shared" si="49"/>
        <v>0</v>
      </c>
      <c r="Y305" s="15"/>
      <c r="Z305" s="15">
        <f t="shared" si="50"/>
        <v>0</v>
      </c>
      <c r="AA305" s="13">
        <f t="shared" si="51"/>
        <v>0</v>
      </c>
    </row>
    <row r="306" spans="1:27" s="16" customFormat="1" x14ac:dyDescent="0.3">
      <c r="A306" s="18">
        <v>305</v>
      </c>
      <c r="B306" s="8">
        <v>46280</v>
      </c>
      <c r="C306" s="8">
        <v>46280</v>
      </c>
      <c r="D306" s="20" t="s">
        <v>713</v>
      </c>
      <c r="E306" s="22"/>
      <c r="F306" s="9"/>
      <c r="G306" s="9"/>
      <c r="H306" s="31"/>
      <c r="I306" s="39" t="s">
        <v>333</v>
      </c>
      <c r="J306" s="36" t="s">
        <v>23</v>
      </c>
      <c r="K306" s="26" t="s">
        <v>30</v>
      </c>
      <c r="L306" s="48" t="s">
        <v>47</v>
      </c>
      <c r="M306" s="9" t="s">
        <v>34</v>
      </c>
      <c r="N306" s="9">
        <v>31.26</v>
      </c>
      <c r="O306" s="9">
        <v>15</v>
      </c>
      <c r="P306" s="52">
        <f t="shared" si="52"/>
        <v>16.260000000000002</v>
      </c>
      <c r="Q306" s="11">
        <v>0</v>
      </c>
      <c r="R306" s="12">
        <f t="shared" si="44"/>
        <v>0</v>
      </c>
      <c r="S306" s="11"/>
      <c r="T306" s="13"/>
      <c r="V306" s="19" t="s">
        <v>24</v>
      </c>
      <c r="W306" s="11"/>
      <c r="X306" s="14">
        <f t="shared" si="49"/>
        <v>0</v>
      </c>
      <c r="Y306" s="15"/>
      <c r="Z306" s="15">
        <f t="shared" si="50"/>
        <v>0</v>
      </c>
      <c r="AA306" s="13">
        <f t="shared" si="51"/>
        <v>0</v>
      </c>
    </row>
    <row r="307" spans="1:27" s="16" customFormat="1" x14ac:dyDescent="0.3">
      <c r="A307" s="18">
        <v>306</v>
      </c>
      <c r="B307" s="8">
        <v>46280</v>
      </c>
      <c r="C307" s="8">
        <v>46280</v>
      </c>
      <c r="D307" s="20" t="s">
        <v>714</v>
      </c>
      <c r="E307" s="22"/>
      <c r="F307" s="9"/>
      <c r="G307" s="9"/>
      <c r="H307" s="31"/>
      <c r="I307" s="39" t="s">
        <v>333</v>
      </c>
      <c r="J307" s="36" t="s">
        <v>23</v>
      </c>
      <c r="K307" s="26" t="s">
        <v>30</v>
      </c>
      <c r="L307" s="9" t="s">
        <v>49</v>
      </c>
      <c r="M307" s="9" t="s">
        <v>34</v>
      </c>
      <c r="N307" s="9">
        <v>28.48</v>
      </c>
      <c r="O307" s="9">
        <v>14.12</v>
      </c>
      <c r="P307" s="52">
        <f t="shared" si="52"/>
        <v>14.360000000000001</v>
      </c>
      <c r="Q307" s="11">
        <v>0</v>
      </c>
      <c r="R307" s="12">
        <f t="shared" si="44"/>
        <v>0</v>
      </c>
      <c r="S307" s="11"/>
      <c r="T307" s="13"/>
      <c r="V307" s="19" t="s">
        <v>24</v>
      </c>
      <c r="W307" s="11"/>
      <c r="X307" s="14">
        <f t="shared" si="49"/>
        <v>0</v>
      </c>
      <c r="Y307" s="15"/>
      <c r="Z307" s="15">
        <f t="shared" si="50"/>
        <v>0</v>
      </c>
      <c r="AA307" s="13">
        <f t="shared" si="51"/>
        <v>0</v>
      </c>
    </row>
    <row r="308" spans="1:27" s="28" customFormat="1" x14ac:dyDescent="0.3">
      <c r="A308" s="18">
        <v>307</v>
      </c>
      <c r="B308" s="8">
        <v>46280</v>
      </c>
      <c r="C308" s="8">
        <v>46280</v>
      </c>
      <c r="D308" s="20" t="s">
        <v>715</v>
      </c>
      <c r="E308" s="22"/>
      <c r="F308" s="9"/>
      <c r="G308" s="9"/>
      <c r="H308" s="31"/>
      <c r="I308" s="39" t="s">
        <v>60</v>
      </c>
      <c r="J308" s="36" t="s">
        <v>23</v>
      </c>
      <c r="K308" s="26" t="s">
        <v>30</v>
      </c>
      <c r="L308" s="48" t="s">
        <v>61</v>
      </c>
      <c r="M308" s="9" t="s">
        <v>34</v>
      </c>
      <c r="N308" s="9">
        <v>38.86</v>
      </c>
      <c r="O308" s="9">
        <v>12.2</v>
      </c>
      <c r="P308" s="52">
        <f t="shared" si="52"/>
        <v>26.66</v>
      </c>
      <c r="Q308" s="11">
        <v>120</v>
      </c>
      <c r="R308" s="12">
        <f t="shared" si="44"/>
        <v>3199.2</v>
      </c>
      <c r="S308" s="11"/>
      <c r="T308" s="13"/>
      <c r="V308" s="19" t="s">
        <v>181</v>
      </c>
      <c r="W308" s="11"/>
      <c r="X308" s="14">
        <f t="shared" si="49"/>
        <v>0</v>
      </c>
      <c r="Y308" s="15"/>
      <c r="Z308" s="15">
        <f t="shared" si="50"/>
        <v>0</v>
      </c>
      <c r="AA308" s="13">
        <f t="shared" si="51"/>
        <v>3199.2</v>
      </c>
    </row>
    <row r="309" spans="1:27" s="16" customFormat="1" x14ac:dyDescent="0.3">
      <c r="A309" s="18">
        <v>308</v>
      </c>
      <c r="B309" s="8">
        <v>46280</v>
      </c>
      <c r="C309" s="8">
        <v>46280</v>
      </c>
      <c r="D309" s="20" t="s">
        <v>716</v>
      </c>
      <c r="E309" s="22"/>
      <c r="F309" s="9"/>
      <c r="G309" s="9"/>
      <c r="H309" s="31"/>
      <c r="I309" s="39" t="s">
        <v>333</v>
      </c>
      <c r="J309" s="36" t="s">
        <v>23</v>
      </c>
      <c r="K309" s="26" t="s">
        <v>30</v>
      </c>
      <c r="L309" s="48" t="s">
        <v>33</v>
      </c>
      <c r="M309" s="9" t="s">
        <v>233</v>
      </c>
      <c r="N309" s="9">
        <v>25.48</v>
      </c>
      <c r="O309" s="9">
        <v>11.62</v>
      </c>
      <c r="P309" s="52">
        <f t="shared" si="52"/>
        <v>13.860000000000001</v>
      </c>
      <c r="Q309" s="11">
        <v>0</v>
      </c>
      <c r="R309" s="12">
        <f t="shared" si="44"/>
        <v>0</v>
      </c>
      <c r="S309" s="11"/>
      <c r="T309" s="13"/>
      <c r="V309" s="19" t="s">
        <v>24</v>
      </c>
      <c r="W309" s="11"/>
      <c r="X309" s="14">
        <f t="shared" si="49"/>
        <v>0</v>
      </c>
      <c r="Y309" s="15"/>
      <c r="Z309" s="15">
        <f t="shared" si="50"/>
        <v>0</v>
      </c>
      <c r="AA309" s="13">
        <f t="shared" si="51"/>
        <v>0</v>
      </c>
    </row>
    <row r="310" spans="1:27" s="16" customFormat="1" x14ac:dyDescent="0.3">
      <c r="A310" s="18">
        <v>309</v>
      </c>
      <c r="B310" s="8">
        <v>46280</v>
      </c>
      <c r="C310" s="8">
        <v>46280</v>
      </c>
      <c r="D310" s="20" t="s">
        <v>717</v>
      </c>
      <c r="E310" s="22"/>
      <c r="F310" s="9"/>
      <c r="G310" s="9"/>
      <c r="H310" s="31"/>
      <c r="I310" s="39" t="s">
        <v>60</v>
      </c>
      <c r="J310" s="36" t="s">
        <v>23</v>
      </c>
      <c r="K310" s="26" t="s">
        <v>30</v>
      </c>
      <c r="L310" s="48" t="s">
        <v>61</v>
      </c>
      <c r="M310" s="9" t="s">
        <v>34</v>
      </c>
      <c r="N310" s="9">
        <v>39.380000000000003</v>
      </c>
      <c r="O310" s="9">
        <v>12.26</v>
      </c>
      <c r="P310" s="52">
        <f t="shared" si="52"/>
        <v>27.120000000000005</v>
      </c>
      <c r="Q310" s="11">
        <v>120</v>
      </c>
      <c r="R310" s="12">
        <f t="shared" si="44"/>
        <v>3254.4000000000005</v>
      </c>
      <c r="S310" s="11"/>
      <c r="T310" s="13"/>
      <c r="V310" s="19" t="s">
        <v>181</v>
      </c>
      <c r="W310" s="11"/>
      <c r="X310" s="14">
        <f t="shared" si="49"/>
        <v>0</v>
      </c>
      <c r="Y310" s="15"/>
      <c r="Z310" s="15">
        <f t="shared" si="50"/>
        <v>0</v>
      </c>
      <c r="AA310" s="13">
        <f t="shared" si="51"/>
        <v>3254.4000000000005</v>
      </c>
    </row>
    <row r="311" spans="1:27" s="16" customFormat="1" x14ac:dyDescent="0.3">
      <c r="A311" s="18">
        <v>310</v>
      </c>
      <c r="B311" s="8">
        <v>46280</v>
      </c>
      <c r="C311" s="8">
        <v>46280</v>
      </c>
      <c r="D311" s="20" t="s">
        <v>718</v>
      </c>
      <c r="E311" s="22"/>
      <c r="F311" s="9"/>
      <c r="G311" s="9"/>
      <c r="H311" s="31"/>
      <c r="I311" s="39" t="s">
        <v>333</v>
      </c>
      <c r="J311" s="36" t="s">
        <v>23</v>
      </c>
      <c r="K311" s="26" t="s">
        <v>30</v>
      </c>
      <c r="L311" s="48" t="s">
        <v>235</v>
      </c>
      <c r="M311" s="9" t="s">
        <v>233</v>
      </c>
      <c r="N311" s="9">
        <v>24.06</v>
      </c>
      <c r="O311" s="9">
        <v>14.12</v>
      </c>
      <c r="P311" s="52">
        <f t="shared" si="52"/>
        <v>9.94</v>
      </c>
      <c r="Q311" s="11">
        <v>0</v>
      </c>
      <c r="R311" s="12">
        <f t="shared" si="44"/>
        <v>0</v>
      </c>
      <c r="S311" s="11"/>
      <c r="T311" s="13"/>
      <c r="V311" s="19" t="s">
        <v>24</v>
      </c>
      <c r="W311" s="11"/>
      <c r="X311" s="14">
        <f t="shared" si="49"/>
        <v>0</v>
      </c>
      <c r="Y311" s="15"/>
      <c r="Z311" s="15">
        <f t="shared" si="50"/>
        <v>0</v>
      </c>
      <c r="AA311" s="13">
        <f t="shared" si="51"/>
        <v>0</v>
      </c>
    </row>
    <row r="312" spans="1:27" s="16" customFormat="1" x14ac:dyDescent="0.3">
      <c r="A312" s="18">
        <v>311</v>
      </c>
      <c r="B312" s="8">
        <v>46280</v>
      </c>
      <c r="C312" s="8">
        <v>46280</v>
      </c>
      <c r="D312" s="20" t="s">
        <v>719</v>
      </c>
      <c r="E312" s="22"/>
      <c r="F312" s="9"/>
      <c r="G312" s="9"/>
      <c r="H312" s="31"/>
      <c r="I312" s="39" t="s">
        <v>333</v>
      </c>
      <c r="J312" s="36" t="s">
        <v>23</v>
      </c>
      <c r="K312" s="26" t="s">
        <v>30</v>
      </c>
      <c r="L312" s="48" t="s">
        <v>720</v>
      </c>
      <c r="M312" s="9" t="s">
        <v>233</v>
      </c>
      <c r="N312" s="9">
        <v>25.66</v>
      </c>
      <c r="O312" s="9">
        <v>14.24</v>
      </c>
      <c r="P312" s="52">
        <f>N312-O312</f>
        <v>11.42</v>
      </c>
      <c r="Q312" s="11">
        <v>0</v>
      </c>
      <c r="R312" s="12">
        <f t="shared" si="44"/>
        <v>0</v>
      </c>
      <c r="S312" s="11"/>
      <c r="T312" s="13"/>
      <c r="V312" s="19" t="s">
        <v>24</v>
      </c>
      <c r="W312" s="11"/>
      <c r="X312" s="14">
        <f t="shared" si="49"/>
        <v>0</v>
      </c>
      <c r="Y312" s="15"/>
      <c r="Z312" s="15">
        <f t="shared" si="50"/>
        <v>0</v>
      </c>
      <c r="AA312" s="13">
        <f t="shared" si="51"/>
        <v>0</v>
      </c>
    </row>
    <row r="313" spans="1:27" s="16" customFormat="1" x14ac:dyDescent="0.3">
      <c r="A313" s="18">
        <v>312</v>
      </c>
      <c r="B313" s="8">
        <v>46280</v>
      </c>
      <c r="C313" s="8">
        <v>46280</v>
      </c>
      <c r="D313" s="20" t="s">
        <v>721</v>
      </c>
      <c r="E313" s="22"/>
      <c r="F313" s="9"/>
      <c r="G313" s="9"/>
      <c r="H313" s="31"/>
      <c r="I313" s="39" t="s">
        <v>60</v>
      </c>
      <c r="J313" s="36" t="s">
        <v>23</v>
      </c>
      <c r="K313" s="26" t="s">
        <v>30</v>
      </c>
      <c r="L313" s="48" t="s">
        <v>722</v>
      </c>
      <c r="M313" s="9" t="s">
        <v>34</v>
      </c>
      <c r="N313" s="9">
        <v>36.979999999999997</v>
      </c>
      <c r="O313" s="9">
        <v>12.06</v>
      </c>
      <c r="P313" s="52">
        <f t="shared" si="52"/>
        <v>24.919999999999995</v>
      </c>
      <c r="Q313" s="11">
        <v>120</v>
      </c>
      <c r="R313" s="12">
        <f t="shared" si="44"/>
        <v>2990.3999999999992</v>
      </c>
      <c r="S313" s="11"/>
      <c r="T313" s="13"/>
      <c r="V313" s="19" t="s">
        <v>181</v>
      </c>
      <c r="W313" s="11"/>
      <c r="X313" s="14">
        <f t="shared" si="49"/>
        <v>0</v>
      </c>
      <c r="Y313" s="15"/>
      <c r="Z313" s="15">
        <f t="shared" si="50"/>
        <v>0</v>
      </c>
      <c r="AA313" s="13">
        <f t="shared" si="51"/>
        <v>2990.3999999999992</v>
      </c>
    </row>
    <row r="314" spans="1:27" s="16" customFormat="1" x14ac:dyDescent="0.3">
      <c r="A314" s="18">
        <v>313</v>
      </c>
      <c r="B314" s="8">
        <v>46280</v>
      </c>
      <c r="C314" s="8">
        <v>46280</v>
      </c>
      <c r="D314" s="20" t="s">
        <v>723</v>
      </c>
      <c r="E314" s="22"/>
      <c r="F314" s="9"/>
      <c r="G314" s="9"/>
      <c r="H314" s="31"/>
      <c r="I314" s="39" t="s">
        <v>60</v>
      </c>
      <c r="J314" s="36" t="s">
        <v>23</v>
      </c>
      <c r="K314" s="26" t="s">
        <v>30</v>
      </c>
      <c r="L314" s="48" t="s">
        <v>61</v>
      </c>
      <c r="M314" s="9" t="s">
        <v>34</v>
      </c>
      <c r="N314" s="9">
        <v>37.659999999999997</v>
      </c>
      <c r="O314" s="9">
        <v>12.22</v>
      </c>
      <c r="P314" s="52">
        <f t="shared" si="52"/>
        <v>25.439999999999998</v>
      </c>
      <c r="Q314" s="11">
        <v>120</v>
      </c>
      <c r="R314" s="12">
        <f t="shared" si="44"/>
        <v>3052.7999999999997</v>
      </c>
      <c r="S314" s="11"/>
      <c r="T314" s="13"/>
      <c r="V314" s="19" t="s">
        <v>181</v>
      </c>
      <c r="W314" s="11"/>
      <c r="X314" s="14">
        <f t="shared" si="49"/>
        <v>0</v>
      </c>
      <c r="Y314" s="15"/>
      <c r="Z314" s="15">
        <f t="shared" si="50"/>
        <v>0</v>
      </c>
      <c r="AA314" s="13">
        <f t="shared" si="51"/>
        <v>3052.7999999999997</v>
      </c>
    </row>
    <row r="315" spans="1:27" s="16" customFormat="1" x14ac:dyDescent="0.3">
      <c r="A315" s="18">
        <v>314</v>
      </c>
      <c r="B315" s="8">
        <v>46280</v>
      </c>
      <c r="C315" s="8">
        <v>46280</v>
      </c>
      <c r="D315" s="20" t="s">
        <v>724</v>
      </c>
      <c r="E315" s="22"/>
      <c r="F315" s="9"/>
      <c r="G315" s="9"/>
      <c r="H315" s="31"/>
      <c r="I315" s="39" t="s">
        <v>333</v>
      </c>
      <c r="J315" s="36" t="s">
        <v>23</v>
      </c>
      <c r="K315" s="26" t="s">
        <v>30</v>
      </c>
      <c r="L315" s="48" t="s">
        <v>43</v>
      </c>
      <c r="M315" s="9" t="s">
        <v>233</v>
      </c>
      <c r="N315" s="9">
        <v>26.32</v>
      </c>
      <c r="O315" s="9">
        <v>14.86</v>
      </c>
      <c r="P315" s="52">
        <f t="shared" si="52"/>
        <v>11.46</v>
      </c>
      <c r="Q315" s="11">
        <v>0</v>
      </c>
      <c r="R315" s="12">
        <f t="shared" si="44"/>
        <v>0</v>
      </c>
      <c r="S315" s="11"/>
      <c r="T315" s="13"/>
      <c r="V315" s="19" t="s">
        <v>24</v>
      </c>
      <c r="W315" s="11"/>
      <c r="X315" s="14">
        <f t="shared" si="49"/>
        <v>0</v>
      </c>
      <c r="Y315" s="15"/>
      <c r="Z315" s="15">
        <f t="shared" si="50"/>
        <v>0</v>
      </c>
      <c r="AA315" s="13">
        <f t="shared" si="51"/>
        <v>0</v>
      </c>
    </row>
    <row r="316" spans="1:27" s="16" customFormat="1" x14ac:dyDescent="0.3">
      <c r="A316" s="18">
        <v>315</v>
      </c>
      <c r="B316" s="8">
        <v>46280</v>
      </c>
      <c r="C316" s="8">
        <v>46280</v>
      </c>
      <c r="D316" s="20">
        <v>260915001</v>
      </c>
      <c r="E316" s="22" t="s">
        <v>725</v>
      </c>
      <c r="F316" s="9" t="s">
        <v>726</v>
      </c>
      <c r="G316" s="9">
        <v>40</v>
      </c>
      <c r="H316" s="41">
        <v>96</v>
      </c>
      <c r="I316" s="55" t="s">
        <v>727</v>
      </c>
      <c r="J316" s="56" t="s">
        <v>23</v>
      </c>
      <c r="K316" s="42" t="s">
        <v>30</v>
      </c>
      <c r="L316" s="48" t="s">
        <v>56</v>
      </c>
      <c r="M316" s="9" t="s">
        <v>31</v>
      </c>
      <c r="N316" s="9">
        <v>55.08</v>
      </c>
      <c r="O316" s="9">
        <v>14.4</v>
      </c>
      <c r="P316" s="52">
        <f t="shared" si="52"/>
        <v>40.68</v>
      </c>
      <c r="Q316" s="11">
        <v>520</v>
      </c>
      <c r="R316" s="12">
        <f t="shared" si="44"/>
        <v>21153.599999999999</v>
      </c>
      <c r="S316" s="11"/>
      <c r="T316" s="13"/>
      <c r="V316" s="19" t="s">
        <v>54</v>
      </c>
      <c r="W316" s="11">
        <v>150</v>
      </c>
      <c r="X316" s="14">
        <f t="shared" si="49"/>
        <v>6102</v>
      </c>
      <c r="Y316" s="15"/>
      <c r="Z316" s="15">
        <f t="shared" si="50"/>
        <v>0</v>
      </c>
      <c r="AA316" s="13">
        <f t="shared" si="51"/>
        <v>27255.599999999999</v>
      </c>
    </row>
    <row r="317" spans="1:27" s="16" customFormat="1" x14ac:dyDescent="0.3">
      <c r="A317" s="18">
        <v>316</v>
      </c>
      <c r="B317" s="8">
        <v>46280</v>
      </c>
      <c r="C317" s="8">
        <v>46280</v>
      </c>
      <c r="D317" s="20" t="s">
        <v>728</v>
      </c>
      <c r="E317" s="22"/>
      <c r="F317" s="9"/>
      <c r="G317" s="9"/>
      <c r="H317" s="31"/>
      <c r="I317" s="39" t="s">
        <v>60</v>
      </c>
      <c r="J317" s="36" t="s">
        <v>23</v>
      </c>
      <c r="K317" s="26" t="s">
        <v>30</v>
      </c>
      <c r="L317" s="48" t="s">
        <v>61</v>
      </c>
      <c r="M317" s="9" t="s">
        <v>34</v>
      </c>
      <c r="N317" s="9">
        <v>37.54</v>
      </c>
      <c r="O317" s="9">
        <v>12.22</v>
      </c>
      <c r="P317" s="52">
        <f t="shared" si="52"/>
        <v>25.32</v>
      </c>
      <c r="Q317" s="11">
        <v>120</v>
      </c>
      <c r="R317" s="12">
        <f t="shared" si="44"/>
        <v>3038.4</v>
      </c>
      <c r="S317" s="11"/>
      <c r="T317" s="13"/>
      <c r="V317" s="19" t="s">
        <v>181</v>
      </c>
      <c r="W317" s="11"/>
      <c r="X317" s="14">
        <f t="shared" si="49"/>
        <v>0</v>
      </c>
      <c r="Y317" s="15"/>
      <c r="Z317" s="15">
        <f t="shared" si="50"/>
        <v>0</v>
      </c>
      <c r="AA317" s="13">
        <f t="shared" si="51"/>
        <v>3038.4</v>
      </c>
    </row>
    <row r="318" spans="1:27" s="16" customFormat="1" x14ac:dyDescent="0.3">
      <c r="A318" s="18">
        <v>317</v>
      </c>
      <c r="B318" s="8">
        <v>46280</v>
      </c>
      <c r="C318" s="8">
        <v>46280</v>
      </c>
      <c r="D318" s="20" t="s">
        <v>729</v>
      </c>
      <c r="E318" s="22"/>
      <c r="F318" s="9"/>
      <c r="G318" s="9"/>
      <c r="H318" s="31"/>
      <c r="I318" s="39" t="s">
        <v>60</v>
      </c>
      <c r="J318" s="36" t="s">
        <v>23</v>
      </c>
      <c r="K318" s="26" t="s">
        <v>30</v>
      </c>
      <c r="L318" s="48" t="s">
        <v>61</v>
      </c>
      <c r="M318" s="9" t="s">
        <v>34</v>
      </c>
      <c r="N318" s="9">
        <v>38.619999999999997</v>
      </c>
      <c r="O318" s="9">
        <v>12.18</v>
      </c>
      <c r="P318" s="52">
        <f t="shared" si="52"/>
        <v>26.439999999999998</v>
      </c>
      <c r="Q318" s="11">
        <v>120</v>
      </c>
      <c r="R318" s="12">
        <f t="shared" si="44"/>
        <v>3172.7999999999997</v>
      </c>
      <c r="S318" s="11"/>
      <c r="T318" s="13"/>
      <c r="V318" s="19" t="s">
        <v>181</v>
      </c>
      <c r="W318" s="11"/>
      <c r="X318" s="14">
        <f t="shared" si="49"/>
        <v>0</v>
      </c>
      <c r="Y318" s="15"/>
      <c r="Z318" s="15">
        <f t="shared" si="50"/>
        <v>0</v>
      </c>
      <c r="AA318" s="13">
        <f t="shared" si="51"/>
        <v>3172.7999999999997</v>
      </c>
    </row>
    <row r="319" spans="1:27" s="16" customFormat="1" x14ac:dyDescent="0.3">
      <c r="A319" s="18">
        <v>318</v>
      </c>
      <c r="B319" s="8">
        <v>46280</v>
      </c>
      <c r="C319" s="8">
        <v>46280</v>
      </c>
      <c r="D319" s="58" t="s">
        <v>730</v>
      </c>
      <c r="E319" s="22" t="s">
        <v>731</v>
      </c>
      <c r="F319" s="9"/>
      <c r="G319" s="9"/>
      <c r="H319" s="31"/>
      <c r="I319" s="39" t="s">
        <v>333</v>
      </c>
      <c r="J319" s="36" t="s">
        <v>23</v>
      </c>
      <c r="K319" s="26" t="s">
        <v>30</v>
      </c>
      <c r="L319" s="11" t="s">
        <v>36</v>
      </c>
      <c r="M319" s="9" t="s">
        <v>233</v>
      </c>
      <c r="N319" s="9">
        <v>27.18</v>
      </c>
      <c r="O319" s="9">
        <v>14.44</v>
      </c>
      <c r="P319" s="52">
        <f t="shared" si="52"/>
        <v>12.74</v>
      </c>
      <c r="Q319" s="11">
        <v>0</v>
      </c>
      <c r="R319" s="12">
        <f t="shared" si="44"/>
        <v>0</v>
      </c>
      <c r="S319" s="11"/>
      <c r="T319" s="13"/>
      <c r="V319" s="19" t="s">
        <v>24</v>
      </c>
      <c r="W319" s="11"/>
      <c r="X319" s="14">
        <f t="shared" si="49"/>
        <v>0</v>
      </c>
      <c r="Y319" s="15"/>
      <c r="Z319" s="15">
        <f t="shared" si="50"/>
        <v>0</v>
      </c>
      <c r="AA319" s="13">
        <f t="shared" si="51"/>
        <v>0</v>
      </c>
    </row>
    <row r="320" spans="1:27" s="16" customFormat="1" x14ac:dyDescent="0.3">
      <c r="A320" s="18">
        <v>319</v>
      </c>
      <c r="B320" s="8">
        <v>46280</v>
      </c>
      <c r="C320" s="8">
        <v>46280</v>
      </c>
      <c r="D320" s="20" t="s">
        <v>732</v>
      </c>
      <c r="E320" s="22"/>
      <c r="F320" s="9"/>
      <c r="G320" s="9"/>
      <c r="H320" s="31"/>
      <c r="I320" s="39" t="s">
        <v>60</v>
      </c>
      <c r="J320" s="36" t="s">
        <v>23</v>
      </c>
      <c r="K320" s="26" t="s">
        <v>30</v>
      </c>
      <c r="L320" s="48" t="s">
        <v>61</v>
      </c>
      <c r="M320" s="9" t="s">
        <v>34</v>
      </c>
      <c r="N320" s="9">
        <v>36.1</v>
      </c>
      <c r="O320" s="9">
        <v>12.2</v>
      </c>
      <c r="P320" s="52">
        <f t="shared" si="52"/>
        <v>23.900000000000002</v>
      </c>
      <c r="Q320" s="11">
        <v>120</v>
      </c>
      <c r="R320" s="12">
        <f t="shared" si="44"/>
        <v>2868.0000000000005</v>
      </c>
      <c r="S320" s="11"/>
      <c r="T320" s="13"/>
      <c r="V320" s="19" t="s">
        <v>181</v>
      </c>
      <c r="W320" s="11"/>
      <c r="X320" s="14">
        <f t="shared" si="49"/>
        <v>0</v>
      </c>
      <c r="Y320" s="15"/>
      <c r="Z320" s="15">
        <f t="shared" si="50"/>
        <v>0</v>
      </c>
      <c r="AA320" s="13">
        <f t="shared" si="51"/>
        <v>2868.0000000000005</v>
      </c>
    </row>
    <row r="321" spans="1:28" s="16" customFormat="1" x14ac:dyDescent="0.3">
      <c r="A321" s="18">
        <v>320</v>
      </c>
      <c r="B321" s="8">
        <v>46280</v>
      </c>
      <c r="C321" s="8">
        <v>46280</v>
      </c>
      <c r="D321" s="59" t="s">
        <v>733</v>
      </c>
      <c r="E321" s="22"/>
      <c r="F321" s="9"/>
      <c r="G321" s="9"/>
      <c r="H321" s="31"/>
      <c r="I321" s="39" t="s">
        <v>333</v>
      </c>
      <c r="J321" s="36" t="s">
        <v>23</v>
      </c>
      <c r="K321" s="26" t="s">
        <v>30</v>
      </c>
      <c r="L321" s="48" t="s">
        <v>39</v>
      </c>
      <c r="M321" s="9" t="s">
        <v>233</v>
      </c>
      <c r="N321" s="9">
        <v>24.26</v>
      </c>
      <c r="O321" s="9">
        <v>14.34</v>
      </c>
      <c r="P321" s="52">
        <f t="shared" si="52"/>
        <v>9.9200000000000017</v>
      </c>
      <c r="Q321" s="11">
        <v>0</v>
      </c>
      <c r="R321" s="12">
        <f t="shared" si="44"/>
        <v>0</v>
      </c>
      <c r="S321" s="11"/>
      <c r="T321" s="13"/>
      <c r="V321" s="19" t="s">
        <v>24</v>
      </c>
      <c r="W321" s="11"/>
      <c r="X321" s="14">
        <f t="shared" si="49"/>
        <v>0</v>
      </c>
      <c r="Y321" s="15"/>
      <c r="Z321" s="15">
        <f t="shared" si="50"/>
        <v>0</v>
      </c>
      <c r="AA321" s="13">
        <f t="shared" si="51"/>
        <v>0</v>
      </c>
    </row>
    <row r="322" spans="1:28" s="16" customFormat="1" x14ac:dyDescent="0.3">
      <c r="A322" s="18">
        <v>321</v>
      </c>
      <c r="B322" s="8">
        <v>46280</v>
      </c>
      <c r="C322" s="8">
        <v>46280</v>
      </c>
      <c r="D322" s="17">
        <v>260915002</v>
      </c>
      <c r="E322" s="22" t="s">
        <v>734</v>
      </c>
      <c r="F322" s="9" t="s">
        <v>735</v>
      </c>
      <c r="G322" s="9"/>
      <c r="H322" s="37">
        <v>136</v>
      </c>
      <c r="I322" s="39" t="s">
        <v>69</v>
      </c>
      <c r="J322" s="36" t="s">
        <v>23</v>
      </c>
      <c r="K322" s="26" t="s">
        <v>30</v>
      </c>
      <c r="L322" s="48" t="s">
        <v>604</v>
      </c>
      <c r="M322" s="9" t="s">
        <v>71</v>
      </c>
      <c r="N322" s="9">
        <v>55.1</v>
      </c>
      <c r="O322" s="9">
        <v>15.9</v>
      </c>
      <c r="P322" s="52">
        <f t="shared" si="52"/>
        <v>39.200000000000003</v>
      </c>
      <c r="Q322" s="11">
        <v>260</v>
      </c>
      <c r="R322" s="12">
        <f t="shared" ref="R322:R385" si="53">P322*Q322</f>
        <v>10192</v>
      </c>
      <c r="S322" s="11"/>
      <c r="T322" s="13"/>
      <c r="V322" s="19" t="s">
        <v>24</v>
      </c>
      <c r="W322" s="11">
        <v>115</v>
      </c>
      <c r="X322" s="14">
        <f t="shared" si="49"/>
        <v>4508</v>
      </c>
      <c r="Y322" s="15"/>
      <c r="Z322" s="15">
        <f t="shared" si="50"/>
        <v>0</v>
      </c>
      <c r="AA322" s="13">
        <f t="shared" si="51"/>
        <v>14700</v>
      </c>
    </row>
    <row r="323" spans="1:28" s="16" customFormat="1" x14ac:dyDescent="0.3">
      <c r="A323" s="18">
        <v>322</v>
      </c>
      <c r="B323" s="8">
        <v>46280</v>
      </c>
      <c r="C323" s="8">
        <v>46281</v>
      </c>
      <c r="D323" s="60" t="s">
        <v>736</v>
      </c>
      <c r="E323" s="22"/>
      <c r="F323" s="9"/>
      <c r="G323" s="9"/>
      <c r="H323" s="31"/>
      <c r="I323" s="39" t="s">
        <v>60</v>
      </c>
      <c r="J323" s="36" t="s">
        <v>23</v>
      </c>
      <c r="K323" s="26" t="s">
        <v>30</v>
      </c>
      <c r="L323" s="48" t="s">
        <v>61</v>
      </c>
      <c r="M323" s="9" t="s">
        <v>34</v>
      </c>
      <c r="N323" s="9">
        <v>37.14</v>
      </c>
      <c r="O323" s="9">
        <v>12.3</v>
      </c>
      <c r="P323" s="52">
        <f t="shared" si="52"/>
        <v>24.84</v>
      </c>
      <c r="Q323" s="11">
        <v>120</v>
      </c>
      <c r="R323" s="12">
        <f t="shared" si="53"/>
        <v>2980.8</v>
      </c>
      <c r="S323" s="11"/>
      <c r="T323" s="13"/>
      <c r="V323" s="19" t="s">
        <v>181</v>
      </c>
      <c r="W323" s="11"/>
      <c r="X323" s="14">
        <f t="shared" si="49"/>
        <v>0</v>
      </c>
      <c r="Y323" s="15"/>
      <c r="Z323" s="15">
        <f t="shared" si="50"/>
        <v>0</v>
      </c>
      <c r="AA323" s="13">
        <f t="shared" si="51"/>
        <v>2980.8</v>
      </c>
    </row>
    <row r="324" spans="1:28" s="16" customFormat="1" x14ac:dyDescent="0.3">
      <c r="A324" s="18">
        <v>323</v>
      </c>
      <c r="B324" s="8">
        <v>46280</v>
      </c>
      <c r="C324" s="8">
        <v>46281</v>
      </c>
      <c r="D324" s="59" t="s">
        <v>737</v>
      </c>
      <c r="E324" s="22"/>
      <c r="F324" s="9"/>
      <c r="G324" s="9"/>
      <c r="H324" s="31"/>
      <c r="I324" s="39" t="s">
        <v>333</v>
      </c>
      <c r="J324" s="36" t="s">
        <v>23</v>
      </c>
      <c r="K324" s="26" t="s">
        <v>30</v>
      </c>
      <c r="L324" s="48" t="s">
        <v>43</v>
      </c>
      <c r="M324" s="9" t="s">
        <v>233</v>
      </c>
      <c r="N324" s="9">
        <v>26.6</v>
      </c>
      <c r="O324" s="9">
        <v>14.78</v>
      </c>
      <c r="P324" s="52">
        <f t="shared" si="52"/>
        <v>11.820000000000002</v>
      </c>
      <c r="Q324" s="11">
        <v>0</v>
      </c>
      <c r="R324" s="12">
        <f t="shared" si="53"/>
        <v>0</v>
      </c>
      <c r="S324" s="11"/>
      <c r="T324" s="13"/>
      <c r="V324" s="19" t="s">
        <v>24</v>
      </c>
      <c r="W324" s="11"/>
      <c r="X324" s="14">
        <f t="shared" si="49"/>
        <v>0</v>
      </c>
      <c r="Y324" s="15"/>
      <c r="Z324" s="15">
        <f t="shared" si="50"/>
        <v>0</v>
      </c>
      <c r="AA324" s="13">
        <f t="shared" si="51"/>
        <v>0</v>
      </c>
    </row>
    <row r="325" spans="1:28" s="16" customFormat="1" x14ac:dyDescent="0.3">
      <c r="A325" s="18">
        <v>324</v>
      </c>
      <c r="B325" s="8">
        <v>46280</v>
      </c>
      <c r="C325" s="8">
        <v>46281</v>
      </c>
      <c r="D325" s="60" t="s">
        <v>738</v>
      </c>
      <c r="E325" s="22"/>
      <c r="F325" s="9"/>
      <c r="G325" s="9"/>
      <c r="H325" s="31"/>
      <c r="I325" s="39" t="s">
        <v>60</v>
      </c>
      <c r="J325" s="36" t="s">
        <v>23</v>
      </c>
      <c r="K325" s="26" t="s">
        <v>30</v>
      </c>
      <c r="L325" s="48" t="s">
        <v>61</v>
      </c>
      <c r="M325" s="9" t="s">
        <v>34</v>
      </c>
      <c r="N325" s="9">
        <v>37.08</v>
      </c>
      <c r="O325" s="9">
        <v>12.16</v>
      </c>
      <c r="P325" s="52">
        <f t="shared" si="52"/>
        <v>24.919999999999998</v>
      </c>
      <c r="Q325" s="11">
        <v>120</v>
      </c>
      <c r="R325" s="12">
        <f t="shared" si="53"/>
        <v>2990.3999999999996</v>
      </c>
      <c r="S325" s="11"/>
      <c r="T325" s="13"/>
      <c r="V325" s="19" t="s">
        <v>181</v>
      </c>
      <c r="W325" s="11"/>
      <c r="X325" s="14">
        <f t="shared" si="49"/>
        <v>0</v>
      </c>
      <c r="Y325" s="15"/>
      <c r="Z325" s="15">
        <f t="shared" si="50"/>
        <v>0</v>
      </c>
      <c r="AA325" s="13">
        <f t="shared" si="51"/>
        <v>2990.3999999999996</v>
      </c>
    </row>
    <row r="326" spans="1:28" s="16" customFormat="1" x14ac:dyDescent="0.3">
      <c r="A326" s="18">
        <v>325</v>
      </c>
      <c r="B326" s="8">
        <v>46280</v>
      </c>
      <c r="C326" s="8">
        <v>46281</v>
      </c>
      <c r="D326" s="59" t="s">
        <v>739</v>
      </c>
      <c r="E326" s="22"/>
      <c r="F326" s="9"/>
      <c r="G326" s="9"/>
      <c r="H326" s="31"/>
      <c r="I326" s="39" t="s">
        <v>60</v>
      </c>
      <c r="J326" s="36" t="s">
        <v>23</v>
      </c>
      <c r="K326" s="26" t="s">
        <v>30</v>
      </c>
      <c r="L326" s="48" t="s">
        <v>61</v>
      </c>
      <c r="M326" s="9" t="s">
        <v>34</v>
      </c>
      <c r="N326" s="9">
        <v>39.4</v>
      </c>
      <c r="O326" s="9">
        <v>12.24</v>
      </c>
      <c r="P326" s="52">
        <f t="shared" si="52"/>
        <v>27.159999999999997</v>
      </c>
      <c r="Q326" s="11">
        <v>120</v>
      </c>
      <c r="R326" s="12">
        <f t="shared" si="53"/>
        <v>3259.2</v>
      </c>
      <c r="S326" s="11"/>
      <c r="T326" s="13"/>
      <c r="V326" s="19" t="s">
        <v>181</v>
      </c>
      <c r="W326" s="11"/>
      <c r="X326" s="14">
        <f t="shared" si="49"/>
        <v>0</v>
      </c>
      <c r="Y326" s="15"/>
      <c r="Z326" s="15">
        <f t="shared" si="50"/>
        <v>0</v>
      </c>
      <c r="AA326" s="13">
        <f t="shared" si="51"/>
        <v>3259.2</v>
      </c>
    </row>
    <row r="327" spans="1:28" s="16" customFormat="1" x14ac:dyDescent="0.3">
      <c r="A327" s="18">
        <v>326</v>
      </c>
      <c r="B327" s="8">
        <v>46280</v>
      </c>
      <c r="C327" s="8">
        <v>46281</v>
      </c>
      <c r="D327" s="44">
        <v>260916001</v>
      </c>
      <c r="E327" s="22" t="s">
        <v>740</v>
      </c>
      <c r="F327" s="9" t="s">
        <v>741</v>
      </c>
      <c r="G327" s="9"/>
      <c r="H327" s="37">
        <v>136</v>
      </c>
      <c r="I327" s="39" t="s">
        <v>69</v>
      </c>
      <c r="J327" s="36" t="s">
        <v>23</v>
      </c>
      <c r="K327" s="26" t="s">
        <v>30</v>
      </c>
      <c r="L327" s="48" t="s">
        <v>604</v>
      </c>
      <c r="M327" s="9" t="s">
        <v>71</v>
      </c>
      <c r="N327" s="9">
        <v>57.72</v>
      </c>
      <c r="O327" s="9">
        <v>15.8</v>
      </c>
      <c r="P327" s="52">
        <f t="shared" si="52"/>
        <v>41.92</v>
      </c>
      <c r="Q327" s="11">
        <v>260</v>
      </c>
      <c r="R327" s="12">
        <f t="shared" si="53"/>
        <v>10899.2</v>
      </c>
      <c r="S327" s="11"/>
      <c r="T327" s="13"/>
      <c r="V327" s="19" t="s">
        <v>24</v>
      </c>
      <c r="W327" s="11">
        <v>115</v>
      </c>
      <c r="X327" s="14">
        <f t="shared" si="49"/>
        <v>4820.8</v>
      </c>
      <c r="Y327" s="15"/>
      <c r="Z327" s="15">
        <f t="shared" si="50"/>
        <v>0</v>
      </c>
      <c r="AA327" s="13">
        <f t="shared" si="51"/>
        <v>15720</v>
      </c>
    </row>
    <row r="328" spans="1:28" s="16" customFormat="1" x14ac:dyDescent="0.3">
      <c r="A328" s="18">
        <v>327</v>
      </c>
      <c r="B328" s="8">
        <v>46280</v>
      </c>
      <c r="C328" s="8">
        <v>46281</v>
      </c>
      <c r="D328" s="44">
        <v>260916002</v>
      </c>
      <c r="E328" s="22" t="s">
        <v>742</v>
      </c>
      <c r="F328" s="9" t="s">
        <v>743</v>
      </c>
      <c r="G328" s="9"/>
      <c r="H328" s="37">
        <v>136</v>
      </c>
      <c r="I328" s="39" t="s">
        <v>69</v>
      </c>
      <c r="J328" s="36" t="s">
        <v>23</v>
      </c>
      <c r="K328" s="26" t="s">
        <v>30</v>
      </c>
      <c r="L328" s="48" t="s">
        <v>85</v>
      </c>
      <c r="M328" s="9" t="s">
        <v>71</v>
      </c>
      <c r="N328" s="9">
        <v>51.28</v>
      </c>
      <c r="O328" s="9">
        <v>14.14</v>
      </c>
      <c r="P328" s="52">
        <f t="shared" si="52"/>
        <v>37.14</v>
      </c>
      <c r="Q328" s="11">
        <v>260</v>
      </c>
      <c r="R328" s="12">
        <f t="shared" si="53"/>
        <v>9656.4</v>
      </c>
      <c r="S328" s="11"/>
      <c r="T328" s="13"/>
      <c r="V328" s="19" t="s">
        <v>24</v>
      </c>
      <c r="W328" s="11">
        <v>115</v>
      </c>
      <c r="X328" s="14">
        <f t="shared" si="49"/>
        <v>4271.1000000000004</v>
      </c>
      <c r="Y328" s="15"/>
      <c r="Z328" s="15">
        <f t="shared" si="50"/>
        <v>0</v>
      </c>
      <c r="AA328" s="13">
        <f t="shared" si="51"/>
        <v>13927.5</v>
      </c>
    </row>
    <row r="329" spans="1:28" s="16" customFormat="1" x14ac:dyDescent="0.3">
      <c r="A329" s="18">
        <v>328</v>
      </c>
      <c r="B329" s="8">
        <v>46281</v>
      </c>
      <c r="C329" s="8">
        <v>46281</v>
      </c>
      <c r="D329" s="48" t="s">
        <v>744</v>
      </c>
      <c r="E329" s="22"/>
      <c r="F329" s="9"/>
      <c r="G329" s="9"/>
      <c r="H329" s="34">
        <v>285</v>
      </c>
      <c r="I329" s="35" t="s">
        <v>52</v>
      </c>
      <c r="J329" s="36" t="s">
        <v>23</v>
      </c>
      <c r="K329" s="26" t="s">
        <v>30</v>
      </c>
      <c r="L329" s="48" t="s">
        <v>745</v>
      </c>
      <c r="M329" s="9" t="s">
        <v>31</v>
      </c>
      <c r="N329" s="9">
        <v>9.42</v>
      </c>
      <c r="O329" s="9">
        <v>3.6</v>
      </c>
      <c r="P329" s="52">
        <f>N329-O329</f>
        <v>5.82</v>
      </c>
      <c r="Q329" s="11">
        <v>520</v>
      </c>
      <c r="R329" s="12">
        <f t="shared" si="53"/>
        <v>3026.4</v>
      </c>
      <c r="S329" s="11"/>
      <c r="T329" s="13"/>
      <c r="V329" s="19" t="s">
        <v>54</v>
      </c>
      <c r="W329" s="11"/>
      <c r="X329" s="14">
        <f t="shared" ref="X329:X371" si="54">P329*W329</f>
        <v>0</v>
      </c>
      <c r="Y329" s="15"/>
      <c r="Z329" s="15">
        <f t="shared" ref="Z329:Z371" si="55">P329*Y329</f>
        <v>0</v>
      </c>
      <c r="AA329" s="13">
        <f t="shared" ref="AA329:AA371" si="56">R329+X329+Z329</f>
        <v>3026.4</v>
      </c>
      <c r="AB329" s="29"/>
    </row>
    <row r="330" spans="1:28" s="16" customFormat="1" x14ac:dyDescent="0.3">
      <c r="A330" s="18">
        <v>329</v>
      </c>
      <c r="B330" s="8">
        <v>46281</v>
      </c>
      <c r="C330" s="8">
        <v>46281</v>
      </c>
      <c r="D330" s="48">
        <v>260916003</v>
      </c>
      <c r="E330" s="22" t="s">
        <v>746</v>
      </c>
      <c r="F330" s="9" t="s">
        <v>747</v>
      </c>
      <c r="G330" s="9"/>
      <c r="H330" s="37">
        <v>136</v>
      </c>
      <c r="I330" s="39" t="s">
        <v>69</v>
      </c>
      <c r="J330" s="36" t="s">
        <v>23</v>
      </c>
      <c r="K330" s="26" t="s">
        <v>30</v>
      </c>
      <c r="L330" s="48" t="s">
        <v>82</v>
      </c>
      <c r="M330" s="9" t="s">
        <v>748</v>
      </c>
      <c r="N330" s="9">
        <v>58.32</v>
      </c>
      <c r="O330" s="9">
        <v>15.62</v>
      </c>
      <c r="P330" s="52">
        <f>N330-O330</f>
        <v>42.7</v>
      </c>
      <c r="Q330" s="11">
        <v>260</v>
      </c>
      <c r="R330" s="12">
        <f t="shared" si="53"/>
        <v>11102</v>
      </c>
      <c r="S330" s="11"/>
      <c r="T330" s="13"/>
      <c r="V330" s="19" t="s">
        <v>24</v>
      </c>
      <c r="W330" s="11"/>
      <c r="X330" s="14">
        <f t="shared" si="54"/>
        <v>0</v>
      </c>
      <c r="Y330" s="15">
        <v>115</v>
      </c>
      <c r="Z330" s="15">
        <f t="shared" si="55"/>
        <v>4910.5</v>
      </c>
      <c r="AA330" s="13">
        <f t="shared" si="56"/>
        <v>16012.5</v>
      </c>
    </row>
    <row r="331" spans="1:28" s="28" customFormat="1" x14ac:dyDescent="0.3">
      <c r="A331" s="18">
        <v>330</v>
      </c>
      <c r="B331" s="8">
        <v>46281</v>
      </c>
      <c r="C331" s="8">
        <v>46281</v>
      </c>
      <c r="D331" s="48">
        <v>260916004</v>
      </c>
      <c r="E331" s="22" t="s">
        <v>749</v>
      </c>
      <c r="F331" s="9" t="s">
        <v>750</v>
      </c>
      <c r="G331" s="9"/>
      <c r="H331" s="37">
        <v>136</v>
      </c>
      <c r="I331" s="39" t="s">
        <v>69</v>
      </c>
      <c r="J331" s="36" t="s">
        <v>23</v>
      </c>
      <c r="K331" s="26" t="s">
        <v>30</v>
      </c>
      <c r="L331" s="48" t="s">
        <v>123</v>
      </c>
      <c r="M331" s="9" t="s">
        <v>748</v>
      </c>
      <c r="N331" s="9">
        <v>58.98</v>
      </c>
      <c r="O331" s="9">
        <v>16</v>
      </c>
      <c r="P331" s="52">
        <f t="shared" ref="P331:P371" si="57">N331-O331</f>
        <v>42.98</v>
      </c>
      <c r="Q331" s="11">
        <v>260</v>
      </c>
      <c r="R331" s="12">
        <f t="shared" si="53"/>
        <v>11174.8</v>
      </c>
      <c r="S331" s="11"/>
      <c r="T331" s="13"/>
      <c r="V331" s="19" t="s">
        <v>24</v>
      </c>
      <c r="W331" s="11"/>
      <c r="X331" s="14">
        <f t="shared" si="54"/>
        <v>0</v>
      </c>
      <c r="Y331" s="15">
        <v>115</v>
      </c>
      <c r="Z331" s="15">
        <f t="shared" si="55"/>
        <v>4942.7</v>
      </c>
      <c r="AA331" s="13">
        <f t="shared" si="56"/>
        <v>16117.5</v>
      </c>
    </row>
    <row r="332" spans="1:28" s="16" customFormat="1" x14ac:dyDescent="0.3">
      <c r="A332" s="18">
        <v>331</v>
      </c>
      <c r="B332" s="8">
        <v>46281</v>
      </c>
      <c r="C332" s="8">
        <v>46281</v>
      </c>
      <c r="D332" s="48">
        <v>260916005</v>
      </c>
      <c r="E332" s="22" t="s">
        <v>751</v>
      </c>
      <c r="F332" s="9" t="s">
        <v>752</v>
      </c>
      <c r="G332" s="9"/>
      <c r="H332" s="37">
        <v>136</v>
      </c>
      <c r="I332" s="39" t="s">
        <v>69</v>
      </c>
      <c r="J332" s="36" t="s">
        <v>23</v>
      </c>
      <c r="K332" s="26" t="s">
        <v>30</v>
      </c>
      <c r="L332" s="48" t="s">
        <v>111</v>
      </c>
      <c r="M332" s="9" t="s">
        <v>748</v>
      </c>
      <c r="N332" s="9">
        <v>47.24</v>
      </c>
      <c r="O332" s="9">
        <v>11.94</v>
      </c>
      <c r="P332" s="52">
        <f t="shared" si="57"/>
        <v>35.300000000000004</v>
      </c>
      <c r="Q332" s="11">
        <v>260</v>
      </c>
      <c r="R332" s="12">
        <f t="shared" si="53"/>
        <v>9178.0000000000018</v>
      </c>
      <c r="S332" s="11"/>
      <c r="T332" s="13"/>
      <c r="V332" s="19" t="s">
        <v>24</v>
      </c>
      <c r="W332" s="11"/>
      <c r="X332" s="14">
        <f t="shared" si="54"/>
        <v>0</v>
      </c>
      <c r="Y332" s="15">
        <v>115</v>
      </c>
      <c r="Z332" s="15">
        <f t="shared" si="55"/>
        <v>4059.5000000000005</v>
      </c>
      <c r="AA332" s="13">
        <f t="shared" si="56"/>
        <v>13237.500000000002</v>
      </c>
    </row>
    <row r="333" spans="1:28" s="16" customFormat="1" x14ac:dyDescent="0.3">
      <c r="A333" s="18">
        <v>332</v>
      </c>
      <c r="B333" s="8">
        <v>46281</v>
      </c>
      <c r="C333" s="8">
        <v>46281</v>
      </c>
      <c r="D333" s="48">
        <v>260916006</v>
      </c>
      <c r="E333" s="22" t="s">
        <v>753</v>
      </c>
      <c r="F333" s="9" t="s">
        <v>754</v>
      </c>
      <c r="G333" s="9"/>
      <c r="H333" s="37">
        <v>136</v>
      </c>
      <c r="I333" s="39" t="s">
        <v>69</v>
      </c>
      <c r="J333" s="36" t="s">
        <v>23</v>
      </c>
      <c r="K333" s="26" t="s">
        <v>30</v>
      </c>
      <c r="L333" s="9" t="s">
        <v>162</v>
      </c>
      <c r="M333" s="9" t="s">
        <v>748</v>
      </c>
      <c r="N333" s="9">
        <v>43.9</v>
      </c>
      <c r="O333" s="9">
        <v>11.7</v>
      </c>
      <c r="P333" s="52">
        <f t="shared" si="57"/>
        <v>32.200000000000003</v>
      </c>
      <c r="Q333" s="11">
        <v>260</v>
      </c>
      <c r="R333" s="12">
        <f t="shared" si="53"/>
        <v>8372</v>
      </c>
      <c r="S333" s="11"/>
      <c r="T333" s="13"/>
      <c r="V333" s="19" t="s">
        <v>24</v>
      </c>
      <c r="W333" s="11"/>
      <c r="X333" s="14">
        <f t="shared" si="54"/>
        <v>0</v>
      </c>
      <c r="Y333" s="15">
        <v>115</v>
      </c>
      <c r="Z333" s="15">
        <f t="shared" si="55"/>
        <v>3703.0000000000005</v>
      </c>
      <c r="AA333" s="13">
        <f t="shared" si="56"/>
        <v>12075</v>
      </c>
    </row>
    <row r="334" spans="1:28" s="28" customFormat="1" x14ac:dyDescent="0.3">
      <c r="A334" s="18">
        <v>333</v>
      </c>
      <c r="B334" s="8">
        <v>46281</v>
      </c>
      <c r="C334" s="8">
        <v>46281</v>
      </c>
      <c r="D334" s="48" t="s">
        <v>755</v>
      </c>
      <c r="E334" s="22"/>
      <c r="F334" s="9"/>
      <c r="G334" s="9"/>
      <c r="H334" s="34">
        <v>285</v>
      </c>
      <c r="I334" s="35" t="s">
        <v>52</v>
      </c>
      <c r="J334" s="36" t="s">
        <v>23</v>
      </c>
      <c r="K334" s="26" t="s">
        <v>30</v>
      </c>
      <c r="L334" s="48" t="s">
        <v>745</v>
      </c>
      <c r="M334" s="9" t="s">
        <v>173</v>
      </c>
      <c r="N334" s="9">
        <v>10.14</v>
      </c>
      <c r="O334" s="9">
        <v>3.58</v>
      </c>
      <c r="P334" s="52">
        <f t="shared" si="57"/>
        <v>6.5600000000000005</v>
      </c>
      <c r="Q334" s="11">
        <v>415</v>
      </c>
      <c r="R334" s="12">
        <f t="shared" si="53"/>
        <v>2722.4</v>
      </c>
      <c r="S334" s="11"/>
      <c r="T334" s="13"/>
      <c r="V334" s="19" t="s">
        <v>54</v>
      </c>
      <c r="W334" s="11"/>
      <c r="X334" s="14">
        <f t="shared" si="54"/>
        <v>0</v>
      </c>
      <c r="Y334" s="15"/>
      <c r="Z334" s="15">
        <f t="shared" si="55"/>
        <v>0</v>
      </c>
      <c r="AA334" s="13">
        <f t="shared" si="56"/>
        <v>2722.4</v>
      </c>
    </row>
    <row r="335" spans="1:28" s="16" customFormat="1" x14ac:dyDescent="0.3">
      <c r="A335" s="18">
        <v>334</v>
      </c>
      <c r="B335" s="8">
        <v>46281</v>
      </c>
      <c r="C335" s="8">
        <v>46281</v>
      </c>
      <c r="D335" s="48">
        <v>260916007</v>
      </c>
      <c r="E335" s="22" t="s">
        <v>756</v>
      </c>
      <c r="F335" s="9" t="s">
        <v>757</v>
      </c>
      <c r="G335" s="9"/>
      <c r="H335" s="37">
        <v>136</v>
      </c>
      <c r="I335" s="39" t="s">
        <v>69</v>
      </c>
      <c r="J335" s="36" t="s">
        <v>23</v>
      </c>
      <c r="K335" s="26" t="s">
        <v>30</v>
      </c>
      <c r="L335" s="48" t="s">
        <v>70</v>
      </c>
      <c r="M335" s="9" t="s">
        <v>748</v>
      </c>
      <c r="N335" s="9">
        <v>59.48</v>
      </c>
      <c r="O335" s="9">
        <v>15.88</v>
      </c>
      <c r="P335" s="52">
        <f t="shared" si="57"/>
        <v>43.599999999999994</v>
      </c>
      <c r="Q335" s="11">
        <v>260</v>
      </c>
      <c r="R335" s="12">
        <f t="shared" si="53"/>
        <v>11335.999999999998</v>
      </c>
      <c r="S335" s="11"/>
      <c r="T335" s="13"/>
      <c r="V335" s="19" t="s">
        <v>24</v>
      </c>
      <c r="W335" s="11"/>
      <c r="X335" s="14">
        <f t="shared" si="54"/>
        <v>0</v>
      </c>
      <c r="Y335" s="15">
        <v>115</v>
      </c>
      <c r="Z335" s="15">
        <f t="shared" si="55"/>
        <v>5013.9999999999991</v>
      </c>
      <c r="AA335" s="13">
        <f t="shared" si="56"/>
        <v>16349.999999999996</v>
      </c>
    </row>
    <row r="336" spans="1:28" s="16" customFormat="1" x14ac:dyDescent="0.3">
      <c r="A336" s="18">
        <v>335</v>
      </c>
      <c r="B336" s="8">
        <v>46281</v>
      </c>
      <c r="C336" s="8">
        <v>46281</v>
      </c>
      <c r="D336" s="48">
        <v>260916008</v>
      </c>
      <c r="E336" s="22" t="s">
        <v>758</v>
      </c>
      <c r="F336" s="9" t="s">
        <v>759</v>
      </c>
      <c r="G336" s="9"/>
      <c r="H336" s="37">
        <v>136</v>
      </c>
      <c r="I336" s="39" t="s">
        <v>69</v>
      </c>
      <c r="J336" s="36" t="s">
        <v>23</v>
      </c>
      <c r="K336" s="26" t="s">
        <v>30</v>
      </c>
      <c r="L336" s="48" t="s">
        <v>74</v>
      </c>
      <c r="M336" s="9" t="s">
        <v>748</v>
      </c>
      <c r="N336" s="9">
        <v>59.34</v>
      </c>
      <c r="O336" s="9">
        <v>15.7</v>
      </c>
      <c r="P336" s="52">
        <f t="shared" si="57"/>
        <v>43.64</v>
      </c>
      <c r="Q336" s="11">
        <v>260</v>
      </c>
      <c r="R336" s="12">
        <f t="shared" si="53"/>
        <v>11346.4</v>
      </c>
      <c r="S336" s="11"/>
      <c r="T336" s="13"/>
      <c r="V336" s="19" t="s">
        <v>24</v>
      </c>
      <c r="W336" s="11"/>
      <c r="X336" s="14">
        <f t="shared" si="54"/>
        <v>0</v>
      </c>
      <c r="Y336" s="15">
        <v>115</v>
      </c>
      <c r="Z336" s="15">
        <f t="shared" si="55"/>
        <v>5018.6000000000004</v>
      </c>
      <c r="AA336" s="13">
        <f t="shared" si="56"/>
        <v>16365</v>
      </c>
    </row>
    <row r="337" spans="1:27" s="16" customFormat="1" x14ac:dyDescent="0.3">
      <c r="A337" s="18">
        <v>336</v>
      </c>
      <c r="B337" s="8">
        <v>46281</v>
      </c>
      <c r="C337" s="8">
        <v>46281</v>
      </c>
      <c r="D337" s="48">
        <v>260916009</v>
      </c>
      <c r="E337" s="22" t="s">
        <v>760</v>
      </c>
      <c r="F337" s="9" t="s">
        <v>761</v>
      </c>
      <c r="G337" s="9"/>
      <c r="H337" s="37">
        <v>136</v>
      </c>
      <c r="I337" s="39" t="s">
        <v>69</v>
      </c>
      <c r="J337" s="36" t="s">
        <v>23</v>
      </c>
      <c r="K337" s="26" t="s">
        <v>30</v>
      </c>
      <c r="L337" s="48" t="s">
        <v>170</v>
      </c>
      <c r="M337" s="9" t="s">
        <v>748</v>
      </c>
      <c r="N337" s="9">
        <v>59.38</v>
      </c>
      <c r="O337" s="9">
        <v>15.02</v>
      </c>
      <c r="P337" s="52">
        <f t="shared" si="57"/>
        <v>44.36</v>
      </c>
      <c r="Q337" s="11">
        <v>260</v>
      </c>
      <c r="R337" s="12">
        <f t="shared" si="53"/>
        <v>11533.6</v>
      </c>
      <c r="S337" s="11"/>
      <c r="T337" s="13"/>
      <c r="V337" s="19" t="s">
        <v>24</v>
      </c>
      <c r="W337" s="11"/>
      <c r="X337" s="14">
        <f t="shared" si="54"/>
        <v>0</v>
      </c>
      <c r="Y337" s="15">
        <v>115</v>
      </c>
      <c r="Z337" s="15">
        <f t="shared" si="55"/>
        <v>5101.3999999999996</v>
      </c>
      <c r="AA337" s="13">
        <f t="shared" si="56"/>
        <v>16635</v>
      </c>
    </row>
    <row r="338" spans="1:27" s="16" customFormat="1" x14ac:dyDescent="0.3">
      <c r="A338" s="18">
        <v>337</v>
      </c>
      <c r="B338" s="8">
        <v>46281</v>
      </c>
      <c r="C338" s="8">
        <v>46281</v>
      </c>
      <c r="D338" s="48">
        <v>260916010</v>
      </c>
      <c r="E338" s="22" t="s">
        <v>762</v>
      </c>
      <c r="F338" s="9" t="s">
        <v>763</v>
      </c>
      <c r="G338" s="9"/>
      <c r="H338" s="37">
        <v>136</v>
      </c>
      <c r="I338" s="39" t="s">
        <v>69</v>
      </c>
      <c r="J338" s="36" t="s">
        <v>23</v>
      </c>
      <c r="K338" s="26" t="s">
        <v>30</v>
      </c>
      <c r="L338" s="48" t="s">
        <v>337</v>
      </c>
      <c r="M338" s="9" t="s">
        <v>748</v>
      </c>
      <c r="N338" s="9">
        <v>42.42</v>
      </c>
      <c r="O338" s="9">
        <v>11.6</v>
      </c>
      <c r="P338" s="52">
        <f>N338-O338</f>
        <v>30.82</v>
      </c>
      <c r="Q338" s="11">
        <v>260</v>
      </c>
      <c r="R338" s="12">
        <f t="shared" si="53"/>
        <v>8013.2</v>
      </c>
      <c r="S338" s="11"/>
      <c r="T338" s="13"/>
      <c r="V338" s="19" t="s">
        <v>24</v>
      </c>
      <c r="W338" s="11"/>
      <c r="X338" s="14">
        <f t="shared" si="54"/>
        <v>0</v>
      </c>
      <c r="Y338" s="15">
        <v>115</v>
      </c>
      <c r="Z338" s="15">
        <f t="shared" si="55"/>
        <v>3544.3</v>
      </c>
      <c r="AA338" s="13">
        <f t="shared" si="56"/>
        <v>11557.5</v>
      </c>
    </row>
    <row r="339" spans="1:27" s="16" customFormat="1" x14ac:dyDescent="0.3">
      <c r="A339" s="18">
        <v>338</v>
      </c>
      <c r="B339" s="8">
        <v>46281</v>
      </c>
      <c r="C339" s="8">
        <v>46281</v>
      </c>
      <c r="D339" s="48">
        <v>260916011</v>
      </c>
      <c r="E339" s="22" t="s">
        <v>764</v>
      </c>
      <c r="F339" s="9" t="s">
        <v>765</v>
      </c>
      <c r="G339" s="9"/>
      <c r="H339" s="37">
        <v>136</v>
      </c>
      <c r="I339" s="39" t="s">
        <v>69</v>
      </c>
      <c r="J339" s="36" t="s">
        <v>23</v>
      </c>
      <c r="K339" s="26" t="s">
        <v>30</v>
      </c>
      <c r="L339" s="48" t="s">
        <v>287</v>
      </c>
      <c r="M339" s="9" t="s">
        <v>748</v>
      </c>
      <c r="N339" s="9">
        <v>58.66</v>
      </c>
      <c r="O339" s="9">
        <v>16.239999999999998</v>
      </c>
      <c r="P339" s="52">
        <f t="shared" si="57"/>
        <v>42.42</v>
      </c>
      <c r="Q339" s="11">
        <v>260</v>
      </c>
      <c r="R339" s="12">
        <f t="shared" si="53"/>
        <v>11029.2</v>
      </c>
      <c r="S339" s="11"/>
      <c r="T339" s="13"/>
      <c r="V339" s="19" t="s">
        <v>24</v>
      </c>
      <c r="W339" s="11"/>
      <c r="X339" s="14">
        <f t="shared" si="54"/>
        <v>0</v>
      </c>
      <c r="Y339" s="15">
        <v>115</v>
      </c>
      <c r="Z339" s="15">
        <f t="shared" si="55"/>
        <v>4878.3</v>
      </c>
      <c r="AA339" s="13">
        <f t="shared" si="56"/>
        <v>15907.5</v>
      </c>
    </row>
    <row r="340" spans="1:27" s="16" customFormat="1" x14ac:dyDescent="0.3">
      <c r="A340" s="18">
        <v>339</v>
      </c>
      <c r="B340" s="8">
        <v>46281</v>
      </c>
      <c r="C340" s="8">
        <v>46281</v>
      </c>
      <c r="D340" s="48">
        <v>260916012</v>
      </c>
      <c r="E340" s="22" t="s">
        <v>766</v>
      </c>
      <c r="F340" s="9" t="s">
        <v>767</v>
      </c>
      <c r="G340" s="9"/>
      <c r="H340" s="37">
        <v>136</v>
      </c>
      <c r="I340" s="39" t="s">
        <v>69</v>
      </c>
      <c r="J340" s="36" t="s">
        <v>23</v>
      </c>
      <c r="K340" s="26" t="s">
        <v>30</v>
      </c>
      <c r="L340" s="48" t="s">
        <v>768</v>
      </c>
      <c r="M340" s="9" t="s">
        <v>748</v>
      </c>
      <c r="N340" s="9">
        <v>66.16</v>
      </c>
      <c r="O340" s="9">
        <v>16.399999999999999</v>
      </c>
      <c r="P340" s="52">
        <f t="shared" si="57"/>
        <v>49.76</v>
      </c>
      <c r="Q340" s="11">
        <v>260</v>
      </c>
      <c r="R340" s="12">
        <f t="shared" si="53"/>
        <v>12937.6</v>
      </c>
      <c r="S340" s="11"/>
      <c r="T340" s="13"/>
      <c r="V340" s="19" t="s">
        <v>24</v>
      </c>
      <c r="W340" s="11"/>
      <c r="X340" s="14">
        <f t="shared" si="54"/>
        <v>0</v>
      </c>
      <c r="Y340" s="15">
        <v>115</v>
      </c>
      <c r="Z340" s="15">
        <f t="shared" si="55"/>
        <v>5722.4</v>
      </c>
      <c r="AA340" s="13">
        <f t="shared" si="56"/>
        <v>18660</v>
      </c>
    </row>
    <row r="341" spans="1:27" s="16" customFormat="1" x14ac:dyDescent="0.3">
      <c r="A341" s="18">
        <v>340</v>
      </c>
      <c r="B341" s="8">
        <v>46281</v>
      </c>
      <c r="C341" s="8">
        <v>46281</v>
      </c>
      <c r="D341" s="48">
        <v>260916013</v>
      </c>
      <c r="E341" s="22" t="s">
        <v>769</v>
      </c>
      <c r="F341" s="9" t="s">
        <v>770</v>
      </c>
      <c r="G341" s="9"/>
      <c r="H341" s="37">
        <v>136</v>
      </c>
      <c r="I341" s="39" t="s">
        <v>69</v>
      </c>
      <c r="J341" s="36" t="s">
        <v>23</v>
      </c>
      <c r="K341" s="26" t="s">
        <v>30</v>
      </c>
      <c r="L341" s="48" t="s">
        <v>290</v>
      </c>
      <c r="M341" s="9" t="s">
        <v>748</v>
      </c>
      <c r="N341" s="9">
        <v>62.94</v>
      </c>
      <c r="O341" s="9">
        <v>15.46</v>
      </c>
      <c r="P341" s="52">
        <f t="shared" si="57"/>
        <v>47.48</v>
      </c>
      <c r="Q341" s="11">
        <v>260</v>
      </c>
      <c r="R341" s="12">
        <f t="shared" si="53"/>
        <v>12344.8</v>
      </c>
      <c r="S341" s="11"/>
      <c r="T341" s="13"/>
      <c r="V341" s="19" t="s">
        <v>24</v>
      </c>
      <c r="W341" s="11"/>
      <c r="X341" s="14">
        <f t="shared" si="54"/>
        <v>0</v>
      </c>
      <c r="Y341" s="15">
        <v>115</v>
      </c>
      <c r="Z341" s="15">
        <f t="shared" si="55"/>
        <v>5460.2</v>
      </c>
      <c r="AA341" s="13">
        <f t="shared" si="56"/>
        <v>17805</v>
      </c>
    </row>
    <row r="342" spans="1:27" s="16" customFormat="1" x14ac:dyDescent="0.3">
      <c r="A342" s="18">
        <v>341</v>
      </c>
      <c r="B342" s="8">
        <v>46281</v>
      </c>
      <c r="C342" s="8">
        <v>46281</v>
      </c>
      <c r="D342" s="48">
        <v>260916014</v>
      </c>
      <c r="E342" s="22" t="s">
        <v>771</v>
      </c>
      <c r="F342" s="9" t="s">
        <v>772</v>
      </c>
      <c r="G342" s="9"/>
      <c r="H342" s="37">
        <v>136</v>
      </c>
      <c r="I342" s="39" t="s">
        <v>69</v>
      </c>
      <c r="J342" s="36" t="s">
        <v>23</v>
      </c>
      <c r="K342" s="26" t="s">
        <v>30</v>
      </c>
      <c r="L342" s="48" t="s">
        <v>82</v>
      </c>
      <c r="M342" s="9" t="s">
        <v>748</v>
      </c>
      <c r="N342" s="9">
        <v>60.44</v>
      </c>
      <c r="O342" s="9">
        <v>15.56</v>
      </c>
      <c r="P342" s="52">
        <f t="shared" si="57"/>
        <v>44.879999999999995</v>
      </c>
      <c r="Q342" s="11">
        <v>260</v>
      </c>
      <c r="R342" s="12">
        <f t="shared" si="53"/>
        <v>11668.8</v>
      </c>
      <c r="S342" s="11"/>
      <c r="T342" s="13"/>
      <c r="V342" s="19" t="s">
        <v>24</v>
      </c>
      <c r="W342" s="11"/>
      <c r="X342" s="14">
        <f t="shared" si="54"/>
        <v>0</v>
      </c>
      <c r="Y342" s="15">
        <v>115</v>
      </c>
      <c r="Z342" s="15">
        <f t="shared" si="55"/>
        <v>5161.2</v>
      </c>
      <c r="AA342" s="13">
        <f t="shared" si="56"/>
        <v>16830</v>
      </c>
    </row>
    <row r="343" spans="1:27" s="16" customFormat="1" x14ac:dyDescent="0.3">
      <c r="A343" s="18">
        <v>342</v>
      </c>
      <c r="B343" s="8">
        <v>46281</v>
      </c>
      <c r="C343" s="8">
        <v>46281</v>
      </c>
      <c r="D343" s="48">
        <v>260916015</v>
      </c>
      <c r="E343" s="22" t="s">
        <v>773</v>
      </c>
      <c r="F343" s="9" t="s">
        <v>774</v>
      </c>
      <c r="G343" s="9"/>
      <c r="H343" s="37">
        <v>136</v>
      </c>
      <c r="I343" s="39" t="s">
        <v>69</v>
      </c>
      <c r="J343" s="36" t="s">
        <v>23</v>
      </c>
      <c r="K343" s="26" t="s">
        <v>30</v>
      </c>
      <c r="L343" s="48" t="s">
        <v>85</v>
      </c>
      <c r="M343" s="9" t="s">
        <v>748</v>
      </c>
      <c r="N343" s="9">
        <v>55.64</v>
      </c>
      <c r="O343" s="9">
        <v>14.14</v>
      </c>
      <c r="P343" s="52">
        <f t="shared" si="57"/>
        <v>41.5</v>
      </c>
      <c r="Q343" s="11">
        <v>260</v>
      </c>
      <c r="R343" s="12">
        <f t="shared" si="53"/>
        <v>10790</v>
      </c>
      <c r="S343" s="11"/>
      <c r="T343" s="13"/>
      <c r="V343" s="19" t="s">
        <v>24</v>
      </c>
      <c r="W343" s="11"/>
      <c r="X343" s="14">
        <f t="shared" si="54"/>
        <v>0</v>
      </c>
      <c r="Y343" s="15">
        <v>115</v>
      </c>
      <c r="Z343" s="15">
        <f t="shared" si="55"/>
        <v>4772.5</v>
      </c>
      <c r="AA343" s="13">
        <f t="shared" si="56"/>
        <v>15562.5</v>
      </c>
    </row>
    <row r="344" spans="1:27" s="16" customFormat="1" x14ac:dyDescent="0.3">
      <c r="A344" s="18">
        <v>343</v>
      </c>
      <c r="B344" s="8">
        <v>46281</v>
      </c>
      <c r="C344" s="8">
        <v>46281</v>
      </c>
      <c r="D344" s="48">
        <v>260916016</v>
      </c>
      <c r="E344" s="22" t="s">
        <v>775</v>
      </c>
      <c r="F344" s="9" t="s">
        <v>776</v>
      </c>
      <c r="G344" s="9"/>
      <c r="H344" s="37">
        <v>136</v>
      </c>
      <c r="I344" s="39" t="s">
        <v>69</v>
      </c>
      <c r="J344" s="36" t="s">
        <v>23</v>
      </c>
      <c r="K344" s="26" t="s">
        <v>30</v>
      </c>
      <c r="L344" s="48" t="s">
        <v>123</v>
      </c>
      <c r="M344" s="9" t="s">
        <v>748</v>
      </c>
      <c r="N344" s="9">
        <v>61.32</v>
      </c>
      <c r="O344" s="9">
        <v>15.92</v>
      </c>
      <c r="P344" s="52">
        <f t="shared" si="57"/>
        <v>45.4</v>
      </c>
      <c r="Q344" s="11">
        <v>260</v>
      </c>
      <c r="R344" s="12">
        <f t="shared" si="53"/>
        <v>11804</v>
      </c>
      <c r="S344" s="11"/>
      <c r="T344" s="13"/>
      <c r="V344" s="19" t="s">
        <v>24</v>
      </c>
      <c r="W344" s="11"/>
      <c r="X344" s="14">
        <f t="shared" si="54"/>
        <v>0</v>
      </c>
      <c r="Y344" s="15">
        <v>115</v>
      </c>
      <c r="Z344" s="15">
        <f t="shared" si="55"/>
        <v>5221</v>
      </c>
      <c r="AA344" s="13">
        <f t="shared" si="56"/>
        <v>17025</v>
      </c>
    </row>
    <row r="345" spans="1:27" s="16" customFormat="1" x14ac:dyDescent="0.3">
      <c r="A345" s="18">
        <v>344</v>
      </c>
      <c r="B345" s="8">
        <v>46281</v>
      </c>
      <c r="C345" s="8">
        <v>46281</v>
      </c>
      <c r="D345" s="48">
        <v>260916017</v>
      </c>
      <c r="E345" s="22" t="s">
        <v>777</v>
      </c>
      <c r="F345" s="9" t="s">
        <v>778</v>
      </c>
      <c r="G345" s="9"/>
      <c r="H345" s="37">
        <v>136</v>
      </c>
      <c r="I345" s="39" t="s">
        <v>69</v>
      </c>
      <c r="J345" s="36" t="s">
        <v>23</v>
      </c>
      <c r="K345" s="26" t="s">
        <v>30</v>
      </c>
      <c r="L345" s="48" t="s">
        <v>337</v>
      </c>
      <c r="M345" s="9" t="s">
        <v>748</v>
      </c>
      <c r="N345" s="9">
        <v>44.68</v>
      </c>
      <c r="O345" s="9">
        <v>11.36</v>
      </c>
      <c r="P345" s="52">
        <f t="shared" si="57"/>
        <v>33.32</v>
      </c>
      <c r="Q345" s="11">
        <v>260</v>
      </c>
      <c r="R345" s="12">
        <f t="shared" si="53"/>
        <v>8663.2000000000007</v>
      </c>
      <c r="S345" s="11"/>
      <c r="T345" s="13"/>
      <c r="V345" s="19" t="s">
        <v>24</v>
      </c>
      <c r="W345" s="11"/>
      <c r="X345" s="14">
        <f t="shared" si="54"/>
        <v>0</v>
      </c>
      <c r="Y345" s="15">
        <v>115</v>
      </c>
      <c r="Z345" s="15">
        <f t="shared" si="55"/>
        <v>3831.8</v>
      </c>
      <c r="AA345" s="13">
        <f t="shared" si="56"/>
        <v>12495</v>
      </c>
    </row>
    <row r="346" spans="1:27" s="16" customFormat="1" x14ac:dyDescent="0.3">
      <c r="A346" s="18">
        <v>345</v>
      </c>
      <c r="B346" s="8">
        <v>46281</v>
      </c>
      <c r="C346" s="8">
        <v>46281</v>
      </c>
      <c r="D346" s="48">
        <v>260916018</v>
      </c>
      <c r="E346" s="22" t="s">
        <v>779</v>
      </c>
      <c r="F346" s="9" t="s">
        <v>780</v>
      </c>
      <c r="G346" s="9"/>
      <c r="H346" s="37">
        <v>136</v>
      </c>
      <c r="I346" s="39" t="s">
        <v>69</v>
      </c>
      <c r="J346" s="36" t="s">
        <v>23</v>
      </c>
      <c r="K346" s="26" t="s">
        <v>30</v>
      </c>
      <c r="L346" s="48" t="s">
        <v>111</v>
      </c>
      <c r="M346" s="9" t="s">
        <v>748</v>
      </c>
      <c r="N346" s="9">
        <v>44</v>
      </c>
      <c r="O346" s="9">
        <v>11.8</v>
      </c>
      <c r="P346" s="52">
        <f t="shared" si="57"/>
        <v>32.200000000000003</v>
      </c>
      <c r="Q346" s="11">
        <v>260</v>
      </c>
      <c r="R346" s="12">
        <f t="shared" si="53"/>
        <v>8372</v>
      </c>
      <c r="S346" s="11"/>
      <c r="T346" s="13"/>
      <c r="V346" s="19" t="s">
        <v>24</v>
      </c>
      <c r="W346" s="11"/>
      <c r="X346" s="14">
        <f t="shared" si="54"/>
        <v>0</v>
      </c>
      <c r="Y346" s="15">
        <v>115</v>
      </c>
      <c r="Z346" s="15">
        <f t="shared" si="55"/>
        <v>3703.0000000000005</v>
      </c>
      <c r="AA346" s="13">
        <f t="shared" si="56"/>
        <v>12075</v>
      </c>
    </row>
    <row r="347" spans="1:27" s="16" customFormat="1" x14ac:dyDescent="0.3">
      <c r="A347" s="18">
        <v>346</v>
      </c>
      <c r="B347" s="8">
        <v>46281</v>
      </c>
      <c r="C347" s="8">
        <v>46281</v>
      </c>
      <c r="D347" s="48">
        <v>260916019</v>
      </c>
      <c r="E347" s="22" t="s">
        <v>781</v>
      </c>
      <c r="F347" s="9" t="s">
        <v>782</v>
      </c>
      <c r="G347" s="9"/>
      <c r="H347" s="37">
        <v>136</v>
      </c>
      <c r="I347" s="39" t="s">
        <v>69</v>
      </c>
      <c r="J347" s="36" t="s">
        <v>23</v>
      </c>
      <c r="K347" s="26" t="s">
        <v>30</v>
      </c>
      <c r="L347" s="9" t="s">
        <v>162</v>
      </c>
      <c r="M347" s="9" t="s">
        <v>748</v>
      </c>
      <c r="N347" s="9">
        <v>47.26</v>
      </c>
      <c r="O347" s="9">
        <v>11.66</v>
      </c>
      <c r="P347" s="52">
        <f t="shared" si="57"/>
        <v>35.599999999999994</v>
      </c>
      <c r="Q347" s="11">
        <v>260</v>
      </c>
      <c r="R347" s="12">
        <f t="shared" si="53"/>
        <v>9255.9999999999982</v>
      </c>
      <c r="S347" s="11"/>
      <c r="T347" s="13"/>
      <c r="V347" s="19" t="s">
        <v>24</v>
      </c>
      <c r="W347" s="11"/>
      <c r="X347" s="14">
        <f t="shared" si="54"/>
        <v>0</v>
      </c>
      <c r="Y347" s="15">
        <v>115</v>
      </c>
      <c r="Z347" s="15">
        <f t="shared" si="55"/>
        <v>4093.9999999999995</v>
      </c>
      <c r="AA347" s="13">
        <f t="shared" si="56"/>
        <v>13349.999999999998</v>
      </c>
    </row>
    <row r="348" spans="1:27" s="16" customFormat="1" x14ac:dyDescent="0.3">
      <c r="A348" s="18">
        <v>347</v>
      </c>
      <c r="B348" s="8">
        <v>46281</v>
      </c>
      <c r="C348" s="8">
        <v>46281</v>
      </c>
      <c r="D348" s="48">
        <v>260916020</v>
      </c>
      <c r="E348" s="22" t="s">
        <v>783</v>
      </c>
      <c r="F348" s="9" t="s">
        <v>784</v>
      </c>
      <c r="G348" s="9"/>
      <c r="H348" s="37">
        <v>136</v>
      </c>
      <c r="I348" s="39" t="s">
        <v>69</v>
      </c>
      <c r="J348" s="36" t="s">
        <v>23</v>
      </c>
      <c r="K348" s="26" t="s">
        <v>30</v>
      </c>
      <c r="L348" s="48" t="s">
        <v>170</v>
      </c>
      <c r="M348" s="9" t="s">
        <v>748</v>
      </c>
      <c r="N348" s="9">
        <v>61.24</v>
      </c>
      <c r="O348" s="9">
        <v>15.02</v>
      </c>
      <c r="P348" s="52">
        <f t="shared" si="57"/>
        <v>46.22</v>
      </c>
      <c r="Q348" s="11">
        <v>260</v>
      </c>
      <c r="R348" s="12">
        <f t="shared" si="53"/>
        <v>12017.199999999999</v>
      </c>
      <c r="S348" s="11"/>
      <c r="T348" s="13"/>
      <c r="V348" s="19" t="s">
        <v>24</v>
      </c>
      <c r="W348" s="11"/>
      <c r="X348" s="14">
        <f t="shared" si="54"/>
        <v>0</v>
      </c>
      <c r="Y348" s="15">
        <v>115</v>
      </c>
      <c r="Z348" s="15">
        <f t="shared" si="55"/>
        <v>5315.3</v>
      </c>
      <c r="AA348" s="13">
        <f t="shared" si="56"/>
        <v>17332.5</v>
      </c>
    </row>
    <row r="349" spans="1:27" s="16" customFormat="1" x14ac:dyDescent="0.3">
      <c r="A349" s="18">
        <v>348</v>
      </c>
      <c r="B349" s="8">
        <v>46281</v>
      </c>
      <c r="C349" s="8">
        <v>46281</v>
      </c>
      <c r="D349" s="48">
        <v>260916021</v>
      </c>
      <c r="E349" s="22" t="s">
        <v>785</v>
      </c>
      <c r="F349" s="9" t="s">
        <v>786</v>
      </c>
      <c r="G349" s="9"/>
      <c r="H349" s="37">
        <v>136</v>
      </c>
      <c r="I349" s="39" t="s">
        <v>69</v>
      </c>
      <c r="J349" s="36" t="s">
        <v>23</v>
      </c>
      <c r="K349" s="26" t="s">
        <v>30</v>
      </c>
      <c r="L349" s="48" t="s">
        <v>74</v>
      </c>
      <c r="M349" s="9" t="s">
        <v>748</v>
      </c>
      <c r="N349" s="9">
        <v>61.4</v>
      </c>
      <c r="O349" s="9">
        <v>15.56</v>
      </c>
      <c r="P349" s="52">
        <f t="shared" si="57"/>
        <v>45.839999999999996</v>
      </c>
      <c r="Q349" s="11">
        <v>260</v>
      </c>
      <c r="R349" s="12">
        <f t="shared" si="53"/>
        <v>11918.4</v>
      </c>
      <c r="S349" s="11"/>
      <c r="T349" s="13"/>
      <c r="V349" s="19" t="s">
        <v>24</v>
      </c>
      <c r="W349" s="11"/>
      <c r="X349" s="14">
        <f t="shared" si="54"/>
        <v>0</v>
      </c>
      <c r="Y349" s="15">
        <v>115</v>
      </c>
      <c r="Z349" s="15">
        <f t="shared" si="55"/>
        <v>5271.5999999999995</v>
      </c>
      <c r="AA349" s="13">
        <f t="shared" si="56"/>
        <v>17190</v>
      </c>
    </row>
    <row r="350" spans="1:27" s="16" customFormat="1" x14ac:dyDescent="0.3">
      <c r="A350" s="18">
        <v>349</v>
      </c>
      <c r="B350" s="8">
        <v>46281</v>
      </c>
      <c r="C350" s="8">
        <v>46281</v>
      </c>
      <c r="D350" s="48">
        <v>260916022</v>
      </c>
      <c r="E350" s="22" t="s">
        <v>787</v>
      </c>
      <c r="F350" s="9" t="s">
        <v>788</v>
      </c>
      <c r="G350" s="9"/>
      <c r="H350" s="37">
        <v>136</v>
      </c>
      <c r="I350" s="39" t="s">
        <v>69</v>
      </c>
      <c r="J350" s="36" t="s">
        <v>23</v>
      </c>
      <c r="K350" s="26" t="s">
        <v>30</v>
      </c>
      <c r="L350" s="48" t="s">
        <v>70</v>
      </c>
      <c r="M350" s="9" t="s">
        <v>748</v>
      </c>
      <c r="N350" s="9">
        <v>59.78</v>
      </c>
      <c r="O350" s="9">
        <v>15.74</v>
      </c>
      <c r="P350" s="52">
        <f t="shared" si="57"/>
        <v>44.04</v>
      </c>
      <c r="Q350" s="11">
        <v>260</v>
      </c>
      <c r="R350" s="12">
        <f t="shared" si="53"/>
        <v>11450.4</v>
      </c>
      <c r="S350" s="11"/>
      <c r="T350" s="13"/>
      <c r="V350" s="19" t="s">
        <v>24</v>
      </c>
      <c r="W350" s="11"/>
      <c r="X350" s="14">
        <f t="shared" si="54"/>
        <v>0</v>
      </c>
      <c r="Y350" s="15">
        <v>115</v>
      </c>
      <c r="Z350" s="15">
        <f t="shared" si="55"/>
        <v>5064.5999999999995</v>
      </c>
      <c r="AA350" s="13">
        <f t="shared" si="56"/>
        <v>16515</v>
      </c>
    </row>
    <row r="351" spans="1:27" s="16" customFormat="1" x14ac:dyDescent="0.3">
      <c r="A351" s="18">
        <v>350</v>
      </c>
      <c r="B351" s="8">
        <v>46281</v>
      </c>
      <c r="C351" s="8">
        <v>46281</v>
      </c>
      <c r="D351" s="48">
        <v>260916023</v>
      </c>
      <c r="E351" s="22" t="s">
        <v>789</v>
      </c>
      <c r="F351" s="9" t="s">
        <v>790</v>
      </c>
      <c r="G351" s="9"/>
      <c r="H351" s="37">
        <v>136</v>
      </c>
      <c r="I351" s="39" t="s">
        <v>69</v>
      </c>
      <c r="J351" s="36" t="s">
        <v>23</v>
      </c>
      <c r="K351" s="26" t="s">
        <v>30</v>
      </c>
      <c r="L351" s="9" t="s">
        <v>791</v>
      </c>
      <c r="M351" s="9" t="s">
        <v>748</v>
      </c>
      <c r="N351" s="9">
        <v>62.1</v>
      </c>
      <c r="O351" s="9">
        <v>15.56</v>
      </c>
      <c r="P351" s="52">
        <f t="shared" si="57"/>
        <v>46.54</v>
      </c>
      <c r="Q351" s="11">
        <v>260</v>
      </c>
      <c r="R351" s="12">
        <f t="shared" si="53"/>
        <v>12100.4</v>
      </c>
      <c r="S351" s="11"/>
      <c r="T351" s="13"/>
      <c r="V351" s="19" t="s">
        <v>24</v>
      </c>
      <c r="W351" s="11"/>
      <c r="X351" s="14">
        <f t="shared" si="54"/>
        <v>0</v>
      </c>
      <c r="Y351" s="15">
        <v>115</v>
      </c>
      <c r="Z351" s="15">
        <f t="shared" si="55"/>
        <v>5352.0999999999995</v>
      </c>
      <c r="AA351" s="13">
        <f t="shared" si="56"/>
        <v>17452.5</v>
      </c>
    </row>
    <row r="352" spans="1:27" s="16" customFormat="1" x14ac:dyDescent="0.3">
      <c r="A352" s="18">
        <v>351</v>
      </c>
      <c r="B352" s="8">
        <v>46281</v>
      </c>
      <c r="C352" s="8">
        <v>46281</v>
      </c>
      <c r="D352" s="48">
        <v>260916024</v>
      </c>
      <c r="E352" s="22" t="s">
        <v>792</v>
      </c>
      <c r="F352" s="9" t="s">
        <v>793</v>
      </c>
      <c r="G352" s="9"/>
      <c r="H352" s="37">
        <v>136</v>
      </c>
      <c r="I352" s="39" t="s">
        <v>69</v>
      </c>
      <c r="J352" s="36" t="s">
        <v>23</v>
      </c>
      <c r="K352" s="26" t="s">
        <v>30</v>
      </c>
      <c r="L352" s="48" t="s">
        <v>82</v>
      </c>
      <c r="M352" s="9" t="s">
        <v>748</v>
      </c>
      <c r="N352" s="9">
        <v>60.94</v>
      </c>
      <c r="O352" s="9">
        <v>15.48</v>
      </c>
      <c r="P352" s="52">
        <f t="shared" si="57"/>
        <v>45.459999999999994</v>
      </c>
      <c r="Q352" s="11">
        <v>260</v>
      </c>
      <c r="R352" s="12">
        <f t="shared" si="53"/>
        <v>11819.599999999999</v>
      </c>
      <c r="S352" s="11"/>
      <c r="T352" s="13"/>
      <c r="V352" s="19" t="s">
        <v>24</v>
      </c>
      <c r="W352" s="11"/>
      <c r="X352" s="14">
        <f t="shared" si="54"/>
        <v>0</v>
      </c>
      <c r="Y352" s="15">
        <v>115</v>
      </c>
      <c r="Z352" s="15">
        <f t="shared" si="55"/>
        <v>5227.8999999999996</v>
      </c>
      <c r="AA352" s="13">
        <f t="shared" si="56"/>
        <v>17047.5</v>
      </c>
    </row>
    <row r="353" spans="1:40" s="16" customFormat="1" x14ac:dyDescent="0.3">
      <c r="A353" s="18">
        <v>352</v>
      </c>
      <c r="B353" s="8">
        <v>46281</v>
      </c>
      <c r="C353" s="8">
        <v>46281</v>
      </c>
      <c r="D353" s="48">
        <v>260916025</v>
      </c>
      <c r="E353" s="22" t="s">
        <v>794</v>
      </c>
      <c r="F353" s="9" t="s">
        <v>795</v>
      </c>
      <c r="G353" s="9"/>
      <c r="H353" s="37">
        <v>136</v>
      </c>
      <c r="I353" s="39" t="s">
        <v>69</v>
      </c>
      <c r="J353" s="36" t="s">
        <v>23</v>
      </c>
      <c r="K353" s="26" t="s">
        <v>30</v>
      </c>
      <c r="L353" s="48" t="s">
        <v>85</v>
      </c>
      <c r="M353" s="9" t="s">
        <v>748</v>
      </c>
      <c r="N353" s="9">
        <v>57.3</v>
      </c>
      <c r="O353" s="9">
        <v>14.08</v>
      </c>
      <c r="P353" s="52">
        <f t="shared" si="57"/>
        <v>43.22</v>
      </c>
      <c r="Q353" s="11">
        <v>260</v>
      </c>
      <c r="R353" s="12">
        <f t="shared" si="53"/>
        <v>11237.199999999999</v>
      </c>
      <c r="S353" s="11"/>
      <c r="T353" s="13"/>
      <c r="V353" s="19" t="s">
        <v>24</v>
      </c>
      <c r="W353" s="11"/>
      <c r="X353" s="14">
        <f t="shared" si="54"/>
        <v>0</v>
      </c>
      <c r="Y353" s="15">
        <v>115</v>
      </c>
      <c r="Z353" s="15">
        <f t="shared" si="55"/>
        <v>4970.3</v>
      </c>
      <c r="AA353" s="13">
        <f t="shared" si="56"/>
        <v>16207.5</v>
      </c>
    </row>
    <row r="354" spans="1:40" s="16" customFormat="1" x14ac:dyDescent="0.3">
      <c r="A354" s="18">
        <v>353</v>
      </c>
      <c r="B354" s="8">
        <v>46281</v>
      </c>
      <c r="C354" s="8">
        <v>46281</v>
      </c>
      <c r="D354" s="48">
        <v>260916026</v>
      </c>
      <c r="E354" s="22" t="s">
        <v>796</v>
      </c>
      <c r="F354" s="9" t="s">
        <v>797</v>
      </c>
      <c r="G354" s="9"/>
      <c r="H354" s="37">
        <v>136</v>
      </c>
      <c r="I354" s="39" t="s">
        <v>69</v>
      </c>
      <c r="J354" s="36" t="s">
        <v>23</v>
      </c>
      <c r="K354" s="26" t="s">
        <v>30</v>
      </c>
      <c r="L354" s="48" t="s">
        <v>768</v>
      </c>
      <c r="M354" s="9" t="s">
        <v>748</v>
      </c>
      <c r="N354" s="9">
        <v>65.319999999999993</v>
      </c>
      <c r="O354" s="9">
        <v>16.100000000000001</v>
      </c>
      <c r="P354" s="52">
        <f t="shared" si="57"/>
        <v>49.219999999999992</v>
      </c>
      <c r="Q354" s="11">
        <v>260</v>
      </c>
      <c r="R354" s="12">
        <f t="shared" si="53"/>
        <v>12797.199999999997</v>
      </c>
      <c r="S354" s="11"/>
      <c r="T354" s="13"/>
      <c r="V354" s="19" t="s">
        <v>24</v>
      </c>
      <c r="W354" s="11"/>
      <c r="X354" s="14">
        <f t="shared" si="54"/>
        <v>0</v>
      </c>
      <c r="Y354" s="15">
        <v>115</v>
      </c>
      <c r="Z354" s="15">
        <f t="shared" si="55"/>
        <v>5660.2999999999993</v>
      </c>
      <c r="AA354" s="13">
        <f t="shared" si="56"/>
        <v>18457.499999999996</v>
      </c>
    </row>
    <row r="355" spans="1:40" s="16" customFormat="1" x14ac:dyDescent="0.3">
      <c r="A355" s="18">
        <v>354</v>
      </c>
      <c r="B355" s="8">
        <v>46281</v>
      </c>
      <c r="C355" s="8">
        <v>46281</v>
      </c>
      <c r="D355" s="48">
        <v>260916027</v>
      </c>
      <c r="E355" s="22" t="s">
        <v>798</v>
      </c>
      <c r="F355" s="9" t="s">
        <v>799</v>
      </c>
      <c r="G355" s="9"/>
      <c r="H355" s="37">
        <v>136</v>
      </c>
      <c r="I355" s="39" t="s">
        <v>69</v>
      </c>
      <c r="J355" s="36" t="s">
        <v>23</v>
      </c>
      <c r="K355" s="26" t="s">
        <v>30</v>
      </c>
      <c r="L355" s="48" t="s">
        <v>287</v>
      </c>
      <c r="M355" s="9" t="s">
        <v>748</v>
      </c>
      <c r="N355" s="9">
        <v>60.66</v>
      </c>
      <c r="O355" s="9">
        <v>15.92</v>
      </c>
      <c r="P355" s="52">
        <f t="shared" si="57"/>
        <v>44.739999999999995</v>
      </c>
      <c r="Q355" s="11">
        <v>260</v>
      </c>
      <c r="R355" s="12">
        <f t="shared" si="53"/>
        <v>11632.399999999998</v>
      </c>
      <c r="S355" s="11"/>
      <c r="T355" s="13"/>
      <c r="V355" s="19" t="s">
        <v>24</v>
      </c>
      <c r="W355" s="11"/>
      <c r="X355" s="14">
        <f t="shared" si="54"/>
        <v>0</v>
      </c>
      <c r="Y355" s="15">
        <v>115</v>
      </c>
      <c r="Z355" s="15">
        <f t="shared" si="55"/>
        <v>5145.0999999999995</v>
      </c>
      <c r="AA355" s="13">
        <f t="shared" si="56"/>
        <v>16777.499999999996</v>
      </c>
    </row>
    <row r="356" spans="1:40" s="16" customFormat="1" x14ac:dyDescent="0.3">
      <c r="A356" s="18">
        <v>355</v>
      </c>
      <c r="B356" s="8">
        <v>46281</v>
      </c>
      <c r="C356" s="8">
        <v>46281</v>
      </c>
      <c r="D356" s="48">
        <v>260916028</v>
      </c>
      <c r="E356" s="22" t="s">
        <v>800</v>
      </c>
      <c r="F356" s="9" t="s">
        <v>801</v>
      </c>
      <c r="G356" s="9"/>
      <c r="H356" s="37">
        <v>136</v>
      </c>
      <c r="I356" s="39" t="s">
        <v>69</v>
      </c>
      <c r="J356" s="36" t="s">
        <v>23</v>
      </c>
      <c r="K356" s="26" t="s">
        <v>30</v>
      </c>
      <c r="L356" s="48" t="s">
        <v>290</v>
      </c>
      <c r="M356" s="9" t="s">
        <v>748</v>
      </c>
      <c r="N356" s="9">
        <v>63.64</v>
      </c>
      <c r="O356" s="9">
        <v>15.36</v>
      </c>
      <c r="P356" s="52">
        <f t="shared" si="57"/>
        <v>48.28</v>
      </c>
      <c r="Q356" s="11">
        <v>260</v>
      </c>
      <c r="R356" s="12">
        <f t="shared" si="53"/>
        <v>12552.800000000001</v>
      </c>
      <c r="S356" s="11"/>
      <c r="T356" s="13"/>
      <c r="V356" s="19" t="s">
        <v>24</v>
      </c>
      <c r="W356" s="11"/>
      <c r="X356" s="14">
        <f t="shared" si="54"/>
        <v>0</v>
      </c>
      <c r="Y356" s="15">
        <v>115</v>
      </c>
      <c r="Z356" s="15">
        <f t="shared" si="55"/>
        <v>5552.2</v>
      </c>
      <c r="AA356" s="13">
        <f t="shared" si="56"/>
        <v>18105</v>
      </c>
    </row>
    <row r="357" spans="1:40" s="16" customFormat="1" x14ac:dyDescent="0.3">
      <c r="A357" s="18">
        <v>356</v>
      </c>
      <c r="B357" s="8">
        <v>46281</v>
      </c>
      <c r="C357" s="8">
        <v>46282</v>
      </c>
      <c r="D357" s="61">
        <v>260917001</v>
      </c>
      <c r="E357" s="22" t="s">
        <v>802</v>
      </c>
      <c r="F357" s="9" t="s">
        <v>803</v>
      </c>
      <c r="G357" s="9"/>
      <c r="H357" s="37">
        <v>136</v>
      </c>
      <c r="I357" s="39" t="s">
        <v>69</v>
      </c>
      <c r="J357" s="36" t="s">
        <v>23</v>
      </c>
      <c r="K357" s="26" t="s">
        <v>30</v>
      </c>
      <c r="L357" s="48" t="s">
        <v>82</v>
      </c>
      <c r="M357" s="9" t="s">
        <v>748</v>
      </c>
      <c r="N357" s="9">
        <v>57.28</v>
      </c>
      <c r="O357" s="9">
        <v>15.44</v>
      </c>
      <c r="P357" s="52">
        <f t="shared" si="57"/>
        <v>41.84</v>
      </c>
      <c r="Q357" s="11">
        <v>260</v>
      </c>
      <c r="R357" s="12">
        <f t="shared" si="53"/>
        <v>10878.400000000001</v>
      </c>
      <c r="S357" s="11"/>
      <c r="T357" s="13"/>
      <c r="V357" s="19" t="s">
        <v>24</v>
      </c>
      <c r="W357" s="11"/>
      <c r="X357" s="14">
        <f t="shared" si="54"/>
        <v>0</v>
      </c>
      <c r="Y357" s="15">
        <v>115</v>
      </c>
      <c r="Z357" s="15">
        <f t="shared" si="55"/>
        <v>4811.6000000000004</v>
      </c>
      <c r="AA357" s="13">
        <f t="shared" si="56"/>
        <v>15690.000000000002</v>
      </c>
    </row>
    <row r="358" spans="1:40" s="16" customFormat="1" x14ac:dyDescent="0.3">
      <c r="A358" s="18">
        <v>357</v>
      </c>
      <c r="B358" s="8">
        <v>46281</v>
      </c>
      <c r="C358" s="8">
        <v>46282</v>
      </c>
      <c r="D358" s="48">
        <v>260917002</v>
      </c>
      <c r="E358" s="22" t="s">
        <v>804</v>
      </c>
      <c r="F358" s="9" t="s">
        <v>805</v>
      </c>
      <c r="G358" s="9"/>
      <c r="H358" s="37">
        <v>136</v>
      </c>
      <c r="I358" s="39" t="s">
        <v>69</v>
      </c>
      <c r="J358" s="36" t="s">
        <v>23</v>
      </c>
      <c r="K358" s="26" t="s">
        <v>30</v>
      </c>
      <c r="L358" s="48" t="s">
        <v>162</v>
      </c>
      <c r="M358" s="9" t="s">
        <v>748</v>
      </c>
      <c r="N358" s="9">
        <v>44.92</v>
      </c>
      <c r="O358" s="9">
        <v>11.62</v>
      </c>
      <c r="P358" s="52">
        <f t="shared" si="57"/>
        <v>33.300000000000004</v>
      </c>
      <c r="Q358" s="11">
        <v>260</v>
      </c>
      <c r="R358" s="12">
        <f t="shared" si="53"/>
        <v>8658.0000000000018</v>
      </c>
      <c r="S358" s="11"/>
      <c r="T358" s="13"/>
      <c r="V358" s="19" t="s">
        <v>24</v>
      </c>
      <c r="W358" s="11"/>
      <c r="X358" s="14">
        <f t="shared" si="54"/>
        <v>0</v>
      </c>
      <c r="Y358" s="15">
        <v>115</v>
      </c>
      <c r="Z358" s="15">
        <f t="shared" si="55"/>
        <v>3829.5000000000005</v>
      </c>
      <c r="AA358" s="13">
        <f t="shared" si="56"/>
        <v>12487.500000000002</v>
      </c>
    </row>
    <row r="359" spans="1:40" s="16" customFormat="1" x14ac:dyDescent="0.3">
      <c r="A359" s="18">
        <v>358</v>
      </c>
      <c r="B359" s="8">
        <v>46281</v>
      </c>
      <c r="C359" s="8">
        <v>46282</v>
      </c>
      <c r="D359" s="48">
        <v>260917003</v>
      </c>
      <c r="E359" s="22" t="s">
        <v>806</v>
      </c>
      <c r="F359" s="9" t="s">
        <v>807</v>
      </c>
      <c r="G359" s="9"/>
      <c r="H359" s="37">
        <v>136</v>
      </c>
      <c r="I359" s="39" t="s">
        <v>69</v>
      </c>
      <c r="J359" s="36" t="s">
        <v>23</v>
      </c>
      <c r="K359" s="26" t="s">
        <v>30</v>
      </c>
      <c r="L359" s="48" t="s">
        <v>290</v>
      </c>
      <c r="M359" s="9" t="s">
        <v>748</v>
      </c>
      <c r="N359" s="9">
        <v>64.92</v>
      </c>
      <c r="O359" s="9">
        <v>15.34</v>
      </c>
      <c r="P359" s="52">
        <f t="shared" si="57"/>
        <v>49.58</v>
      </c>
      <c r="Q359" s="11">
        <v>260</v>
      </c>
      <c r="R359" s="12">
        <f t="shared" si="53"/>
        <v>12890.8</v>
      </c>
      <c r="S359" s="11"/>
      <c r="T359" s="13"/>
      <c r="V359" s="19" t="s">
        <v>24</v>
      </c>
      <c r="W359" s="11"/>
      <c r="X359" s="14">
        <f t="shared" si="54"/>
        <v>0</v>
      </c>
      <c r="Y359" s="15">
        <v>115</v>
      </c>
      <c r="Z359" s="15">
        <f t="shared" si="55"/>
        <v>5701.7</v>
      </c>
      <c r="AA359" s="13">
        <f t="shared" si="56"/>
        <v>18592.5</v>
      </c>
    </row>
    <row r="360" spans="1:40" s="16" customFormat="1" x14ac:dyDescent="0.3">
      <c r="A360" s="18">
        <v>359</v>
      </c>
      <c r="B360" s="8">
        <v>46281</v>
      </c>
      <c r="C360" s="8">
        <v>46282</v>
      </c>
      <c r="D360" s="48">
        <v>260917004</v>
      </c>
      <c r="E360" s="22" t="s">
        <v>808</v>
      </c>
      <c r="F360" s="9" t="s">
        <v>809</v>
      </c>
      <c r="G360" s="9"/>
      <c r="H360" s="37">
        <v>136</v>
      </c>
      <c r="I360" s="39" t="s">
        <v>69</v>
      </c>
      <c r="J360" s="36" t="s">
        <v>23</v>
      </c>
      <c r="K360" s="26" t="s">
        <v>30</v>
      </c>
      <c r="L360" s="48" t="s">
        <v>85</v>
      </c>
      <c r="M360" s="9" t="s">
        <v>748</v>
      </c>
      <c r="N360" s="9">
        <v>56.44</v>
      </c>
      <c r="O360" s="9">
        <v>14.18</v>
      </c>
      <c r="P360" s="52">
        <f t="shared" si="57"/>
        <v>42.26</v>
      </c>
      <c r="Q360" s="11">
        <v>260</v>
      </c>
      <c r="R360" s="12">
        <f t="shared" si="53"/>
        <v>10987.6</v>
      </c>
      <c r="S360" s="11"/>
      <c r="T360" s="13"/>
      <c r="V360" s="19" t="s">
        <v>24</v>
      </c>
      <c r="W360" s="11"/>
      <c r="X360" s="14">
        <f t="shared" si="54"/>
        <v>0</v>
      </c>
      <c r="Y360" s="15">
        <v>115</v>
      </c>
      <c r="Z360" s="15">
        <f t="shared" si="55"/>
        <v>4859.8999999999996</v>
      </c>
      <c r="AA360" s="13">
        <f t="shared" si="56"/>
        <v>15847.5</v>
      </c>
    </row>
    <row r="361" spans="1:40" s="16" customFormat="1" x14ac:dyDescent="0.3">
      <c r="A361" s="18">
        <v>360</v>
      </c>
      <c r="B361" s="8">
        <v>46281</v>
      </c>
      <c r="C361" s="8">
        <v>46282</v>
      </c>
      <c r="D361" s="48">
        <v>260917005</v>
      </c>
      <c r="E361" s="22" t="s">
        <v>810</v>
      </c>
      <c r="F361" s="9" t="s">
        <v>811</v>
      </c>
      <c r="G361" s="9"/>
      <c r="H361" s="37">
        <v>136</v>
      </c>
      <c r="I361" s="39" t="s">
        <v>69</v>
      </c>
      <c r="J361" s="36" t="s">
        <v>23</v>
      </c>
      <c r="K361" s="26" t="s">
        <v>30</v>
      </c>
      <c r="L361" s="48" t="s">
        <v>768</v>
      </c>
      <c r="M361" s="9" t="s">
        <v>748</v>
      </c>
      <c r="N361" s="9">
        <v>65.260000000000005</v>
      </c>
      <c r="O361" s="9">
        <v>16.079999999999998</v>
      </c>
      <c r="P361" s="52">
        <f t="shared" si="57"/>
        <v>49.180000000000007</v>
      </c>
      <c r="Q361" s="11">
        <v>260</v>
      </c>
      <c r="R361" s="12">
        <f t="shared" si="53"/>
        <v>12786.800000000001</v>
      </c>
      <c r="S361" s="11"/>
      <c r="T361" s="13"/>
      <c r="V361" s="19" t="s">
        <v>24</v>
      </c>
      <c r="W361" s="11"/>
      <c r="X361" s="14">
        <f t="shared" si="54"/>
        <v>0</v>
      </c>
      <c r="Y361" s="15">
        <v>115</v>
      </c>
      <c r="Z361" s="15">
        <f t="shared" si="55"/>
        <v>5655.7000000000007</v>
      </c>
      <c r="AA361" s="13">
        <f t="shared" si="56"/>
        <v>18442.5</v>
      </c>
    </row>
    <row r="362" spans="1:40" s="16" customFormat="1" x14ac:dyDescent="0.3">
      <c r="A362" s="18">
        <v>361</v>
      </c>
      <c r="B362" s="8">
        <v>46281</v>
      </c>
      <c r="C362" s="8">
        <v>46282</v>
      </c>
      <c r="D362" s="48">
        <v>260917006</v>
      </c>
      <c r="E362" s="22" t="s">
        <v>812</v>
      </c>
      <c r="F362" s="9" t="s">
        <v>813</v>
      </c>
      <c r="G362" s="9"/>
      <c r="H362" s="37">
        <v>136</v>
      </c>
      <c r="I362" s="39" t="s">
        <v>69</v>
      </c>
      <c r="J362" s="36" t="s">
        <v>23</v>
      </c>
      <c r="K362" s="26" t="s">
        <v>30</v>
      </c>
      <c r="L362" s="48" t="s">
        <v>111</v>
      </c>
      <c r="M362" s="9" t="s">
        <v>748</v>
      </c>
      <c r="N362" s="47">
        <v>46.26</v>
      </c>
      <c r="O362" s="47">
        <v>11.78</v>
      </c>
      <c r="P362" s="52">
        <f t="shared" si="57"/>
        <v>34.479999999999997</v>
      </c>
      <c r="Q362" s="11">
        <v>260</v>
      </c>
      <c r="R362" s="12">
        <f t="shared" si="53"/>
        <v>8964.7999999999993</v>
      </c>
      <c r="S362" s="11"/>
      <c r="T362" s="13"/>
      <c r="V362" s="19" t="s">
        <v>24</v>
      </c>
      <c r="W362" s="11"/>
      <c r="X362" s="14">
        <f t="shared" si="54"/>
        <v>0</v>
      </c>
      <c r="Y362" s="15">
        <v>115</v>
      </c>
      <c r="Z362" s="15">
        <f t="shared" si="55"/>
        <v>3965.2</v>
      </c>
      <c r="AA362" s="13">
        <f t="shared" si="56"/>
        <v>12930</v>
      </c>
      <c r="AF362"/>
      <c r="AG362"/>
      <c r="AH362"/>
      <c r="AI362"/>
      <c r="AJ362"/>
      <c r="AK362"/>
      <c r="AL362"/>
      <c r="AM362"/>
      <c r="AN362"/>
    </row>
    <row r="363" spans="1:40" s="16" customFormat="1" x14ac:dyDescent="0.3">
      <c r="A363" s="18">
        <v>362</v>
      </c>
      <c r="B363" s="8">
        <v>46281</v>
      </c>
      <c r="C363" s="8">
        <v>46282</v>
      </c>
      <c r="D363" s="48">
        <v>260917007</v>
      </c>
      <c r="E363" s="22" t="s">
        <v>814</v>
      </c>
      <c r="F363" s="9" t="s">
        <v>815</v>
      </c>
      <c r="G363" s="9"/>
      <c r="H363" s="37">
        <v>136</v>
      </c>
      <c r="I363" s="39" t="s">
        <v>69</v>
      </c>
      <c r="J363" s="36" t="s">
        <v>23</v>
      </c>
      <c r="K363" s="26" t="s">
        <v>30</v>
      </c>
      <c r="L363" s="48" t="s">
        <v>123</v>
      </c>
      <c r="M363" s="9" t="s">
        <v>748</v>
      </c>
      <c r="N363" s="47">
        <v>60.94</v>
      </c>
      <c r="O363" s="47">
        <v>15.88</v>
      </c>
      <c r="P363" s="52">
        <f t="shared" si="57"/>
        <v>45.059999999999995</v>
      </c>
      <c r="Q363" s="11">
        <v>260</v>
      </c>
      <c r="R363" s="12">
        <f t="shared" si="53"/>
        <v>11715.599999999999</v>
      </c>
      <c r="S363" s="11"/>
      <c r="T363" s="13"/>
      <c r="V363" s="19" t="s">
        <v>24</v>
      </c>
      <c r="W363" s="11"/>
      <c r="X363" s="14">
        <f t="shared" si="54"/>
        <v>0</v>
      </c>
      <c r="Y363" s="15">
        <v>115</v>
      </c>
      <c r="Z363" s="15">
        <f t="shared" si="55"/>
        <v>5181.8999999999996</v>
      </c>
      <c r="AA363" s="13">
        <f t="shared" si="56"/>
        <v>16897.5</v>
      </c>
      <c r="AF363"/>
      <c r="AG363"/>
      <c r="AH363"/>
      <c r="AI363"/>
      <c r="AJ363"/>
      <c r="AK363"/>
      <c r="AL363"/>
      <c r="AM363"/>
      <c r="AN363"/>
    </row>
    <row r="364" spans="1:40" s="16" customFormat="1" x14ac:dyDescent="0.3">
      <c r="A364" s="18">
        <v>363</v>
      </c>
      <c r="B364" s="8">
        <v>46281</v>
      </c>
      <c r="C364" s="8">
        <v>46282</v>
      </c>
      <c r="D364" s="48">
        <v>260917008</v>
      </c>
      <c r="E364" s="22" t="s">
        <v>816</v>
      </c>
      <c r="F364" s="9" t="s">
        <v>817</v>
      </c>
      <c r="G364" s="9"/>
      <c r="H364" s="37">
        <v>136</v>
      </c>
      <c r="I364" s="39" t="s">
        <v>69</v>
      </c>
      <c r="J364" s="36" t="s">
        <v>23</v>
      </c>
      <c r="K364" s="26" t="s">
        <v>30</v>
      </c>
      <c r="L364" s="48" t="s">
        <v>74</v>
      </c>
      <c r="M364" s="9" t="s">
        <v>748</v>
      </c>
      <c r="N364" s="47">
        <v>59.22</v>
      </c>
      <c r="O364" s="47">
        <v>15.62</v>
      </c>
      <c r="P364" s="52">
        <f t="shared" si="57"/>
        <v>43.6</v>
      </c>
      <c r="Q364" s="11">
        <v>260</v>
      </c>
      <c r="R364" s="12">
        <f t="shared" si="53"/>
        <v>11336</v>
      </c>
      <c r="S364" s="11"/>
      <c r="T364" s="13"/>
      <c r="V364" s="19" t="s">
        <v>24</v>
      </c>
      <c r="W364" s="11"/>
      <c r="X364" s="14">
        <f t="shared" si="54"/>
        <v>0</v>
      </c>
      <c r="Y364" s="15">
        <v>115</v>
      </c>
      <c r="Z364" s="15">
        <f t="shared" si="55"/>
        <v>5014</v>
      </c>
      <c r="AA364" s="13">
        <f t="shared" si="56"/>
        <v>16350</v>
      </c>
      <c r="AF364"/>
      <c r="AG364"/>
      <c r="AH364"/>
      <c r="AI364"/>
      <c r="AJ364"/>
      <c r="AK364"/>
      <c r="AL364"/>
      <c r="AM364"/>
      <c r="AN364"/>
    </row>
    <row r="365" spans="1:40" s="16" customFormat="1" x14ac:dyDescent="0.3">
      <c r="A365" s="18">
        <v>364</v>
      </c>
      <c r="B365" s="8">
        <v>46281</v>
      </c>
      <c r="C365" s="8">
        <v>46282</v>
      </c>
      <c r="D365" s="48">
        <v>260917009</v>
      </c>
      <c r="E365" s="22" t="s">
        <v>818</v>
      </c>
      <c r="F365" s="9" t="s">
        <v>819</v>
      </c>
      <c r="G365" s="9"/>
      <c r="H365" s="37">
        <v>136</v>
      </c>
      <c r="I365" s="39" t="s">
        <v>69</v>
      </c>
      <c r="J365" s="36" t="s">
        <v>23</v>
      </c>
      <c r="K365" s="26" t="s">
        <v>30</v>
      </c>
      <c r="L365" s="48" t="s">
        <v>70</v>
      </c>
      <c r="M365" s="9" t="s">
        <v>748</v>
      </c>
      <c r="N365" s="47">
        <v>59.92</v>
      </c>
      <c r="O365" s="47">
        <v>15.76</v>
      </c>
      <c r="P365" s="52">
        <f>N365-O365</f>
        <v>44.160000000000004</v>
      </c>
      <c r="Q365" s="11">
        <v>260</v>
      </c>
      <c r="R365" s="12">
        <f t="shared" si="53"/>
        <v>11481.6</v>
      </c>
      <c r="S365" s="11"/>
      <c r="T365" s="13"/>
      <c r="V365" s="19" t="s">
        <v>24</v>
      </c>
      <c r="W365" s="11"/>
      <c r="X365" s="14">
        <f t="shared" si="54"/>
        <v>0</v>
      </c>
      <c r="Y365" s="15">
        <v>115</v>
      </c>
      <c r="Z365" s="15">
        <f t="shared" si="55"/>
        <v>5078.4000000000005</v>
      </c>
      <c r="AA365" s="13">
        <f t="shared" si="56"/>
        <v>16560</v>
      </c>
      <c r="AF365"/>
      <c r="AG365"/>
      <c r="AH365"/>
      <c r="AI365"/>
      <c r="AJ365"/>
      <c r="AK365"/>
      <c r="AL365"/>
      <c r="AM365"/>
      <c r="AN365"/>
    </row>
    <row r="366" spans="1:40" s="16" customFormat="1" x14ac:dyDescent="0.3">
      <c r="A366" s="18">
        <v>365</v>
      </c>
      <c r="B366" s="8">
        <v>46281</v>
      </c>
      <c r="C366" s="8">
        <v>46282</v>
      </c>
      <c r="D366" s="48">
        <v>260917010</v>
      </c>
      <c r="E366" s="22" t="s">
        <v>820</v>
      </c>
      <c r="F366" s="9" t="s">
        <v>821</v>
      </c>
      <c r="G366" s="9"/>
      <c r="H366" s="37">
        <v>136</v>
      </c>
      <c r="I366" s="39" t="s">
        <v>69</v>
      </c>
      <c r="J366" s="36" t="s">
        <v>23</v>
      </c>
      <c r="K366" s="26" t="s">
        <v>30</v>
      </c>
      <c r="L366" s="48" t="s">
        <v>257</v>
      </c>
      <c r="M366" s="9" t="s">
        <v>748</v>
      </c>
      <c r="N366" s="47">
        <v>43.96</v>
      </c>
      <c r="O366" s="47">
        <v>11.7</v>
      </c>
      <c r="P366" s="52">
        <f>N366-O366</f>
        <v>32.260000000000005</v>
      </c>
      <c r="Q366" s="11">
        <v>260</v>
      </c>
      <c r="R366" s="12">
        <f t="shared" si="53"/>
        <v>8387.6000000000022</v>
      </c>
      <c r="S366" s="11"/>
      <c r="T366" s="13"/>
      <c r="V366" s="19" t="s">
        <v>24</v>
      </c>
      <c r="W366" s="11"/>
      <c r="X366" s="14">
        <f t="shared" si="54"/>
        <v>0</v>
      </c>
      <c r="Y366" s="15">
        <v>115</v>
      </c>
      <c r="Z366" s="15">
        <f t="shared" si="55"/>
        <v>3709.9000000000005</v>
      </c>
      <c r="AA366" s="13">
        <f t="shared" si="56"/>
        <v>12097.500000000004</v>
      </c>
      <c r="AF366"/>
      <c r="AG366"/>
      <c r="AH366"/>
      <c r="AI366"/>
      <c r="AJ366"/>
      <c r="AK366"/>
      <c r="AL366"/>
      <c r="AM366"/>
      <c r="AN366"/>
    </row>
    <row r="367" spans="1:40" s="16" customFormat="1" x14ac:dyDescent="0.3">
      <c r="A367" s="18">
        <v>366</v>
      </c>
      <c r="B367" s="8">
        <v>46281</v>
      </c>
      <c r="C367" s="8">
        <v>46282</v>
      </c>
      <c r="D367" s="48">
        <v>260917011</v>
      </c>
      <c r="E367" s="22" t="s">
        <v>822</v>
      </c>
      <c r="F367" s="9" t="s">
        <v>823</v>
      </c>
      <c r="G367" s="9"/>
      <c r="H367" s="37">
        <v>136</v>
      </c>
      <c r="I367" s="39" t="s">
        <v>69</v>
      </c>
      <c r="J367" s="36" t="s">
        <v>23</v>
      </c>
      <c r="K367" s="26" t="s">
        <v>30</v>
      </c>
      <c r="L367" s="48" t="s">
        <v>274</v>
      </c>
      <c r="M367" s="9" t="s">
        <v>748</v>
      </c>
      <c r="N367" s="47">
        <v>43.02</v>
      </c>
      <c r="O367" s="47">
        <v>11.68</v>
      </c>
      <c r="P367" s="52">
        <f>N367-O367</f>
        <v>31.340000000000003</v>
      </c>
      <c r="Q367" s="11">
        <v>260</v>
      </c>
      <c r="R367" s="12">
        <f t="shared" si="53"/>
        <v>8148.4000000000005</v>
      </c>
      <c r="S367" s="11"/>
      <c r="T367" s="13"/>
      <c r="V367" s="19" t="s">
        <v>24</v>
      </c>
      <c r="W367" s="11"/>
      <c r="X367" s="14">
        <f t="shared" si="54"/>
        <v>0</v>
      </c>
      <c r="Y367" s="15">
        <v>115</v>
      </c>
      <c r="Z367" s="15">
        <f t="shared" si="55"/>
        <v>3604.1000000000004</v>
      </c>
      <c r="AA367" s="13">
        <f t="shared" si="56"/>
        <v>11752.5</v>
      </c>
      <c r="AF367"/>
      <c r="AG367"/>
      <c r="AH367"/>
      <c r="AI367"/>
      <c r="AJ367"/>
      <c r="AK367"/>
      <c r="AL367"/>
      <c r="AM367"/>
      <c r="AN367"/>
    </row>
    <row r="368" spans="1:40" s="16" customFormat="1" x14ac:dyDescent="0.3">
      <c r="A368" s="18">
        <v>367</v>
      </c>
      <c r="B368" s="8">
        <v>46281</v>
      </c>
      <c r="C368" s="8">
        <v>46282</v>
      </c>
      <c r="D368" s="48">
        <v>260917013</v>
      </c>
      <c r="E368" s="22" t="s">
        <v>824</v>
      </c>
      <c r="F368" s="9" t="s">
        <v>825</v>
      </c>
      <c r="G368" s="9">
        <v>45</v>
      </c>
      <c r="H368" s="37">
        <v>140</v>
      </c>
      <c r="I368" s="26" t="s">
        <v>187</v>
      </c>
      <c r="J368" s="6" t="s">
        <v>23</v>
      </c>
      <c r="K368" s="26" t="s">
        <v>30</v>
      </c>
      <c r="L368" s="17" t="s">
        <v>395</v>
      </c>
      <c r="M368" s="9" t="s">
        <v>108</v>
      </c>
      <c r="N368" s="47">
        <v>61.26</v>
      </c>
      <c r="O368" s="47">
        <v>16.239999999999998</v>
      </c>
      <c r="P368" s="52">
        <f t="shared" si="57"/>
        <v>45.019999999999996</v>
      </c>
      <c r="Q368" s="11">
        <v>340</v>
      </c>
      <c r="R368" s="12">
        <f t="shared" si="53"/>
        <v>15306.8</v>
      </c>
      <c r="S368" s="11"/>
      <c r="T368" s="13"/>
      <c r="V368" s="19" t="s">
        <v>24</v>
      </c>
      <c r="W368" s="11">
        <v>145</v>
      </c>
      <c r="X368" s="14">
        <f t="shared" si="54"/>
        <v>6527.9</v>
      </c>
      <c r="Y368" s="15">
        <v>180</v>
      </c>
      <c r="Z368" s="15">
        <f t="shared" si="55"/>
        <v>8103.5999999999995</v>
      </c>
      <c r="AA368" s="13">
        <f t="shared" si="56"/>
        <v>29938.299999999996</v>
      </c>
      <c r="AF368"/>
      <c r="AG368"/>
      <c r="AH368"/>
      <c r="AI368"/>
      <c r="AJ368"/>
      <c r="AK368"/>
      <c r="AL368"/>
      <c r="AM368"/>
      <c r="AN368"/>
    </row>
    <row r="369" spans="1:40" s="16" customFormat="1" x14ac:dyDescent="0.3">
      <c r="A369" s="18">
        <v>368</v>
      </c>
      <c r="B369" s="8">
        <v>46281</v>
      </c>
      <c r="C369" s="8">
        <v>46282</v>
      </c>
      <c r="D369" s="48">
        <v>260917014</v>
      </c>
      <c r="E369" s="22" t="s">
        <v>826</v>
      </c>
      <c r="F369" s="9" t="s">
        <v>827</v>
      </c>
      <c r="G369" s="9">
        <v>34</v>
      </c>
      <c r="H369" s="37">
        <v>140</v>
      </c>
      <c r="I369" s="26" t="s">
        <v>187</v>
      </c>
      <c r="J369" s="6" t="s">
        <v>23</v>
      </c>
      <c r="K369" s="26" t="s">
        <v>30</v>
      </c>
      <c r="L369" s="17" t="s">
        <v>188</v>
      </c>
      <c r="M369" s="9" t="s">
        <v>31</v>
      </c>
      <c r="N369" s="47">
        <v>46.4</v>
      </c>
      <c r="O369" s="47">
        <v>11.98</v>
      </c>
      <c r="P369" s="52">
        <f t="shared" si="57"/>
        <v>34.42</v>
      </c>
      <c r="Q369" s="11">
        <v>575</v>
      </c>
      <c r="R369" s="12">
        <f t="shared" si="53"/>
        <v>19791.5</v>
      </c>
      <c r="S369" s="11"/>
      <c r="T369" s="13"/>
      <c r="V369" s="19" t="s">
        <v>24</v>
      </c>
      <c r="W369" s="11">
        <v>145</v>
      </c>
      <c r="X369" s="14">
        <f t="shared" si="54"/>
        <v>4990.9000000000005</v>
      </c>
      <c r="Y369" s="15">
        <v>180</v>
      </c>
      <c r="Z369" s="15">
        <f t="shared" si="55"/>
        <v>6195.6</v>
      </c>
      <c r="AA369" s="13">
        <f t="shared" si="56"/>
        <v>30978</v>
      </c>
      <c r="AF369"/>
      <c r="AG369"/>
      <c r="AH369"/>
      <c r="AI369"/>
      <c r="AJ369"/>
      <c r="AK369"/>
      <c r="AL369"/>
      <c r="AM369"/>
      <c r="AN369"/>
    </row>
    <row r="370" spans="1:40" s="16" customFormat="1" x14ac:dyDescent="0.3">
      <c r="A370" s="18">
        <v>369</v>
      </c>
      <c r="B370" s="8">
        <v>46281</v>
      </c>
      <c r="C370" s="8">
        <v>46282</v>
      </c>
      <c r="D370" s="48">
        <v>260917016</v>
      </c>
      <c r="E370" s="22" t="s">
        <v>828</v>
      </c>
      <c r="F370" s="9" t="s">
        <v>829</v>
      </c>
      <c r="G370" s="9"/>
      <c r="H370" s="37">
        <v>136</v>
      </c>
      <c r="I370" s="39" t="s">
        <v>69</v>
      </c>
      <c r="J370" s="36" t="s">
        <v>23</v>
      </c>
      <c r="K370" s="26" t="s">
        <v>30</v>
      </c>
      <c r="L370" s="48" t="s">
        <v>82</v>
      </c>
      <c r="M370" s="11" t="s">
        <v>748</v>
      </c>
      <c r="N370" s="47">
        <v>61.32</v>
      </c>
      <c r="O370" s="47">
        <v>15.4</v>
      </c>
      <c r="P370" s="52">
        <f t="shared" si="57"/>
        <v>45.92</v>
      </c>
      <c r="Q370" s="11">
        <v>260</v>
      </c>
      <c r="R370" s="12">
        <f t="shared" si="53"/>
        <v>11939.2</v>
      </c>
      <c r="S370" s="11"/>
      <c r="T370" s="13"/>
      <c r="V370" s="19" t="s">
        <v>24</v>
      </c>
      <c r="W370" s="11"/>
      <c r="X370" s="14">
        <f t="shared" si="54"/>
        <v>0</v>
      </c>
      <c r="Y370" s="15">
        <v>115</v>
      </c>
      <c r="Z370" s="15">
        <f t="shared" si="55"/>
        <v>5280.8</v>
      </c>
      <c r="AA370" s="13">
        <f t="shared" si="56"/>
        <v>17220</v>
      </c>
      <c r="AF370"/>
      <c r="AG370"/>
      <c r="AH370"/>
      <c r="AI370"/>
      <c r="AJ370"/>
      <c r="AK370"/>
      <c r="AL370"/>
      <c r="AM370"/>
      <c r="AN370"/>
    </row>
    <row r="371" spans="1:40" s="16" customFormat="1" x14ac:dyDescent="0.3">
      <c r="A371" s="18">
        <v>370</v>
      </c>
      <c r="B371" s="8">
        <v>46281</v>
      </c>
      <c r="C371" s="8">
        <v>46282</v>
      </c>
      <c r="D371" s="48">
        <v>260917017</v>
      </c>
      <c r="E371" s="22" t="s">
        <v>830</v>
      </c>
      <c r="F371" s="9" t="s">
        <v>831</v>
      </c>
      <c r="G371" s="9"/>
      <c r="H371" s="37">
        <v>136</v>
      </c>
      <c r="I371" s="39" t="s">
        <v>69</v>
      </c>
      <c r="J371" s="36" t="s">
        <v>23</v>
      </c>
      <c r="K371" s="26" t="s">
        <v>30</v>
      </c>
      <c r="L371" s="17" t="s">
        <v>85</v>
      </c>
      <c r="M371" s="9" t="s">
        <v>748</v>
      </c>
      <c r="N371" s="47">
        <v>54.6</v>
      </c>
      <c r="O371" s="47">
        <v>14.14</v>
      </c>
      <c r="P371" s="52">
        <f t="shared" si="57"/>
        <v>40.46</v>
      </c>
      <c r="Q371" s="11">
        <v>260</v>
      </c>
      <c r="R371" s="12">
        <f t="shared" si="53"/>
        <v>10519.6</v>
      </c>
      <c r="S371" s="11"/>
      <c r="T371" s="13"/>
      <c r="V371" s="19" t="s">
        <v>24</v>
      </c>
      <c r="W371" s="11"/>
      <c r="X371" s="14">
        <f t="shared" si="54"/>
        <v>0</v>
      </c>
      <c r="Y371" s="15">
        <v>115</v>
      </c>
      <c r="Z371" s="15">
        <f t="shared" si="55"/>
        <v>4652.9000000000005</v>
      </c>
      <c r="AA371" s="13">
        <f t="shared" si="56"/>
        <v>15172.5</v>
      </c>
      <c r="AF371"/>
      <c r="AG371"/>
      <c r="AH371"/>
      <c r="AI371"/>
      <c r="AJ371"/>
      <c r="AK371"/>
      <c r="AL371"/>
      <c r="AM371"/>
      <c r="AN371"/>
    </row>
    <row r="372" spans="1:40" s="16" customFormat="1" x14ac:dyDescent="0.3">
      <c r="A372" s="18">
        <v>371</v>
      </c>
      <c r="B372" s="8">
        <v>46282</v>
      </c>
      <c r="C372" s="8">
        <v>46282</v>
      </c>
      <c r="D372" s="48">
        <v>260917015</v>
      </c>
      <c r="E372" s="22" t="s">
        <v>832</v>
      </c>
      <c r="F372" s="9" t="s">
        <v>833</v>
      </c>
      <c r="G372" s="9">
        <v>40</v>
      </c>
      <c r="H372" s="37">
        <v>140</v>
      </c>
      <c r="I372" s="26" t="s">
        <v>187</v>
      </c>
      <c r="J372" s="6" t="s">
        <v>23</v>
      </c>
      <c r="K372" s="26" t="s">
        <v>30</v>
      </c>
      <c r="L372" s="48" t="s">
        <v>132</v>
      </c>
      <c r="M372" s="9" t="s">
        <v>31</v>
      </c>
      <c r="N372" s="9">
        <v>55.9</v>
      </c>
      <c r="O372" s="9">
        <v>15.64</v>
      </c>
      <c r="P372" s="52">
        <f>N372-O372</f>
        <v>40.26</v>
      </c>
      <c r="Q372" s="11">
        <v>575</v>
      </c>
      <c r="R372" s="12">
        <f t="shared" si="53"/>
        <v>23149.5</v>
      </c>
      <c r="S372" s="11"/>
      <c r="T372" s="13"/>
      <c r="V372" s="19" t="s">
        <v>24</v>
      </c>
      <c r="W372" s="11">
        <v>145</v>
      </c>
      <c r="X372" s="14">
        <f t="shared" ref="X372:X394" si="58">P372*W372</f>
        <v>5837.7</v>
      </c>
      <c r="Y372" s="15">
        <v>180</v>
      </c>
      <c r="Z372" s="15">
        <f t="shared" ref="Z372:Z394" si="59">P372*Y372</f>
        <v>7246.7999999999993</v>
      </c>
      <c r="AA372" s="13">
        <f t="shared" ref="AA372:AA394" si="60">R372+X372+Z372</f>
        <v>36234</v>
      </c>
      <c r="AB372" s="29"/>
    </row>
    <row r="373" spans="1:40" s="16" customFormat="1" x14ac:dyDescent="0.3">
      <c r="A373" s="18">
        <v>372</v>
      </c>
      <c r="B373" s="8">
        <v>46282</v>
      </c>
      <c r="C373" s="8">
        <v>46282</v>
      </c>
      <c r="D373" s="48">
        <v>260917018</v>
      </c>
      <c r="E373" s="22" t="s">
        <v>834</v>
      </c>
      <c r="F373" s="9" t="s">
        <v>835</v>
      </c>
      <c r="G373" s="9">
        <v>45</v>
      </c>
      <c r="H373" s="37">
        <v>140</v>
      </c>
      <c r="I373" s="26" t="s">
        <v>187</v>
      </c>
      <c r="J373" s="6" t="s">
        <v>23</v>
      </c>
      <c r="K373" s="26" t="s">
        <v>30</v>
      </c>
      <c r="L373" s="48" t="s">
        <v>768</v>
      </c>
      <c r="M373" s="9" t="s">
        <v>108</v>
      </c>
      <c r="N373" s="9">
        <v>60.88</v>
      </c>
      <c r="O373" s="9">
        <v>15.82</v>
      </c>
      <c r="P373" s="52">
        <f>N373-O373</f>
        <v>45.06</v>
      </c>
      <c r="Q373" s="11">
        <v>340</v>
      </c>
      <c r="R373" s="12">
        <f t="shared" si="53"/>
        <v>15320.400000000001</v>
      </c>
      <c r="S373" s="11"/>
      <c r="T373" s="13"/>
      <c r="V373" s="19" t="s">
        <v>24</v>
      </c>
      <c r="W373" s="11">
        <v>145</v>
      </c>
      <c r="X373" s="14">
        <f t="shared" si="58"/>
        <v>6533.7000000000007</v>
      </c>
      <c r="Y373" s="15">
        <v>180</v>
      </c>
      <c r="Z373" s="15">
        <f t="shared" si="59"/>
        <v>8110.8</v>
      </c>
      <c r="AA373" s="13">
        <f t="shared" si="60"/>
        <v>29964.9</v>
      </c>
    </row>
    <row r="374" spans="1:40" s="28" customFormat="1" x14ac:dyDescent="0.3">
      <c r="A374" s="18">
        <v>373</v>
      </c>
      <c r="B374" s="8">
        <v>46282</v>
      </c>
      <c r="C374" s="8">
        <v>46282</v>
      </c>
      <c r="D374" s="48">
        <v>260917019</v>
      </c>
      <c r="E374" s="22" t="s">
        <v>836</v>
      </c>
      <c r="F374" s="9" t="s">
        <v>837</v>
      </c>
      <c r="G374" s="9"/>
      <c r="H374" s="37">
        <v>136</v>
      </c>
      <c r="I374" s="39" t="s">
        <v>69</v>
      </c>
      <c r="J374" s="36" t="s">
        <v>23</v>
      </c>
      <c r="K374" s="26" t="s">
        <v>30</v>
      </c>
      <c r="L374" s="48" t="s">
        <v>123</v>
      </c>
      <c r="M374" s="9" t="s">
        <v>748</v>
      </c>
      <c r="N374" s="9">
        <v>60.64</v>
      </c>
      <c r="O374" s="9">
        <v>15.96</v>
      </c>
      <c r="P374" s="52">
        <f t="shared" ref="P374:P394" si="61">N374-O374</f>
        <v>44.68</v>
      </c>
      <c r="Q374" s="11">
        <v>260</v>
      </c>
      <c r="R374" s="12">
        <f t="shared" si="53"/>
        <v>11616.8</v>
      </c>
      <c r="S374" s="11"/>
      <c r="T374" s="13"/>
      <c r="V374" s="19" t="s">
        <v>24</v>
      </c>
      <c r="W374" s="11"/>
      <c r="X374" s="14">
        <f t="shared" si="58"/>
        <v>0</v>
      </c>
      <c r="Y374" s="15">
        <v>115</v>
      </c>
      <c r="Z374" s="15">
        <f t="shared" si="59"/>
        <v>5138.2</v>
      </c>
      <c r="AA374" s="13">
        <f t="shared" si="60"/>
        <v>16755</v>
      </c>
    </row>
    <row r="375" spans="1:40" s="16" customFormat="1" x14ac:dyDescent="0.3">
      <c r="A375" s="18">
        <v>374</v>
      </c>
      <c r="B375" s="8">
        <v>46282</v>
      </c>
      <c r="C375" s="8">
        <v>46282</v>
      </c>
      <c r="D375" s="48">
        <v>260917020</v>
      </c>
      <c r="E375" s="22" t="s">
        <v>838</v>
      </c>
      <c r="F375" s="9" t="s">
        <v>839</v>
      </c>
      <c r="G375" s="9"/>
      <c r="H375" s="37">
        <v>136</v>
      </c>
      <c r="I375" s="39" t="s">
        <v>69</v>
      </c>
      <c r="J375" s="36" t="s">
        <v>23</v>
      </c>
      <c r="K375" s="26" t="s">
        <v>30</v>
      </c>
      <c r="L375" s="48" t="s">
        <v>337</v>
      </c>
      <c r="M375" s="9" t="s">
        <v>748</v>
      </c>
      <c r="N375" s="9">
        <v>44.26</v>
      </c>
      <c r="O375" s="9">
        <v>11.48</v>
      </c>
      <c r="P375" s="52">
        <f t="shared" si="61"/>
        <v>32.78</v>
      </c>
      <c r="Q375" s="11">
        <v>260</v>
      </c>
      <c r="R375" s="12">
        <f t="shared" si="53"/>
        <v>8522.8000000000011</v>
      </c>
      <c r="S375" s="11"/>
      <c r="T375" s="13"/>
      <c r="V375" s="19" t="s">
        <v>24</v>
      </c>
      <c r="W375" s="11"/>
      <c r="X375" s="14">
        <f t="shared" si="58"/>
        <v>0</v>
      </c>
      <c r="Y375" s="15">
        <v>115</v>
      </c>
      <c r="Z375" s="15">
        <f t="shared" si="59"/>
        <v>3769.7000000000003</v>
      </c>
      <c r="AA375" s="13">
        <f t="shared" si="60"/>
        <v>12292.500000000002</v>
      </c>
    </row>
    <row r="376" spans="1:40" s="16" customFormat="1" x14ac:dyDescent="0.3">
      <c r="A376" s="18">
        <v>375</v>
      </c>
      <c r="B376" s="8">
        <v>46282</v>
      </c>
      <c r="C376" s="8">
        <v>46282</v>
      </c>
      <c r="D376" s="48" t="s">
        <v>840</v>
      </c>
      <c r="E376" s="22"/>
      <c r="F376" s="9"/>
      <c r="G376" s="9"/>
      <c r="H376" s="31"/>
      <c r="I376" s="54" t="s">
        <v>841</v>
      </c>
      <c r="J376" s="36" t="s">
        <v>23</v>
      </c>
      <c r="K376" s="26" t="s">
        <v>30</v>
      </c>
      <c r="L376" s="9" t="s">
        <v>842</v>
      </c>
      <c r="M376" s="9" t="s">
        <v>31</v>
      </c>
      <c r="N376" s="9">
        <v>8.86</v>
      </c>
      <c r="O376" s="9">
        <v>3.62</v>
      </c>
      <c r="P376" s="52">
        <f t="shared" si="61"/>
        <v>5.2399999999999993</v>
      </c>
      <c r="Q376" s="11">
        <v>530</v>
      </c>
      <c r="R376" s="12">
        <f t="shared" si="53"/>
        <v>2777.2</v>
      </c>
      <c r="S376" s="11"/>
      <c r="T376" s="13"/>
      <c r="V376" s="19" t="s">
        <v>54</v>
      </c>
      <c r="W376" s="11"/>
      <c r="X376" s="14">
        <f t="shared" si="58"/>
        <v>0</v>
      </c>
      <c r="Y376" s="15"/>
      <c r="Z376" s="15">
        <f t="shared" si="59"/>
        <v>0</v>
      </c>
      <c r="AA376" s="13">
        <f t="shared" si="60"/>
        <v>2777.2</v>
      </c>
    </row>
    <row r="377" spans="1:40" s="28" customFormat="1" x14ac:dyDescent="0.3">
      <c r="A377" s="18">
        <v>376</v>
      </c>
      <c r="B377" s="8">
        <v>46282</v>
      </c>
      <c r="C377" s="8">
        <v>46282</v>
      </c>
      <c r="D377" s="48">
        <v>260917021</v>
      </c>
      <c r="E377" s="22" t="s">
        <v>843</v>
      </c>
      <c r="F377" s="9" t="s">
        <v>844</v>
      </c>
      <c r="G377" s="9"/>
      <c r="H377" s="37">
        <v>136</v>
      </c>
      <c r="I377" s="39" t="s">
        <v>69</v>
      </c>
      <c r="J377" s="36" t="s">
        <v>23</v>
      </c>
      <c r="K377" s="26" t="s">
        <v>30</v>
      </c>
      <c r="L377" s="48" t="s">
        <v>74</v>
      </c>
      <c r="M377" s="9" t="s">
        <v>748</v>
      </c>
      <c r="N377" s="9">
        <v>58.38</v>
      </c>
      <c r="O377" s="9">
        <v>15.62</v>
      </c>
      <c r="P377" s="52">
        <f t="shared" si="61"/>
        <v>42.760000000000005</v>
      </c>
      <c r="Q377" s="11">
        <v>260</v>
      </c>
      <c r="R377" s="12">
        <f t="shared" si="53"/>
        <v>11117.600000000002</v>
      </c>
      <c r="S377" s="11"/>
      <c r="T377" s="13"/>
      <c r="V377" s="19" t="s">
        <v>24</v>
      </c>
      <c r="W377" s="11"/>
      <c r="X377" s="14">
        <f t="shared" si="58"/>
        <v>0</v>
      </c>
      <c r="Y377" s="15">
        <v>115</v>
      </c>
      <c r="Z377" s="15">
        <f t="shared" si="59"/>
        <v>4917.4000000000005</v>
      </c>
      <c r="AA377" s="13">
        <f t="shared" si="60"/>
        <v>16035.000000000004</v>
      </c>
    </row>
    <row r="378" spans="1:40" s="16" customFormat="1" x14ac:dyDescent="0.3">
      <c r="A378" s="18">
        <v>377</v>
      </c>
      <c r="B378" s="8">
        <v>46282</v>
      </c>
      <c r="C378" s="8">
        <v>46282</v>
      </c>
      <c r="D378" s="48">
        <v>260917022</v>
      </c>
      <c r="E378" s="22" t="s">
        <v>845</v>
      </c>
      <c r="F378" s="9" t="s">
        <v>846</v>
      </c>
      <c r="G378" s="9"/>
      <c r="H378" s="37">
        <v>136</v>
      </c>
      <c r="I378" s="39" t="s">
        <v>69</v>
      </c>
      <c r="J378" s="36" t="s">
        <v>23</v>
      </c>
      <c r="K378" s="26" t="s">
        <v>30</v>
      </c>
      <c r="L378" s="48" t="s">
        <v>82</v>
      </c>
      <c r="M378" s="9" t="s">
        <v>748</v>
      </c>
      <c r="N378" s="9">
        <v>58.52</v>
      </c>
      <c r="O378" s="9">
        <v>15.42</v>
      </c>
      <c r="P378" s="52">
        <f t="shared" si="61"/>
        <v>43.1</v>
      </c>
      <c r="Q378" s="11">
        <v>260</v>
      </c>
      <c r="R378" s="12">
        <f t="shared" si="53"/>
        <v>11206</v>
      </c>
      <c r="S378" s="11"/>
      <c r="T378" s="13"/>
      <c r="V378" s="19" t="s">
        <v>24</v>
      </c>
      <c r="W378" s="11"/>
      <c r="X378" s="14">
        <f t="shared" si="58"/>
        <v>0</v>
      </c>
      <c r="Y378" s="15">
        <v>115</v>
      </c>
      <c r="Z378" s="15">
        <f t="shared" si="59"/>
        <v>4956.5</v>
      </c>
      <c r="AA378" s="13">
        <f t="shared" si="60"/>
        <v>16162.5</v>
      </c>
    </row>
    <row r="379" spans="1:40" s="16" customFormat="1" x14ac:dyDescent="0.3">
      <c r="A379" s="18">
        <v>378</v>
      </c>
      <c r="B379" s="8">
        <v>46282</v>
      </c>
      <c r="C379" s="8">
        <v>46282</v>
      </c>
      <c r="D379" s="48" t="s">
        <v>847</v>
      </c>
      <c r="E379" s="22"/>
      <c r="F379" s="9"/>
      <c r="G379" s="9"/>
      <c r="H379" s="31"/>
      <c r="I379" s="54" t="s">
        <v>841</v>
      </c>
      <c r="J379" s="36" t="s">
        <v>23</v>
      </c>
      <c r="K379" s="26" t="s">
        <v>30</v>
      </c>
      <c r="L379" s="9" t="s">
        <v>842</v>
      </c>
      <c r="M379" s="9" t="s">
        <v>31</v>
      </c>
      <c r="N379" s="9">
        <v>8.7200000000000006</v>
      </c>
      <c r="O379" s="9">
        <v>3.38</v>
      </c>
      <c r="P379" s="52">
        <f t="shared" si="61"/>
        <v>5.3400000000000007</v>
      </c>
      <c r="Q379" s="11">
        <v>530</v>
      </c>
      <c r="R379" s="12">
        <f t="shared" si="53"/>
        <v>2830.2000000000003</v>
      </c>
      <c r="S379" s="11"/>
      <c r="T379" s="13"/>
      <c r="V379" s="19" t="s">
        <v>54</v>
      </c>
      <c r="W379" s="11"/>
      <c r="X379" s="14">
        <f t="shared" si="58"/>
        <v>0</v>
      </c>
      <c r="Y379" s="15"/>
      <c r="Z379" s="15">
        <f t="shared" si="59"/>
        <v>0</v>
      </c>
      <c r="AA379" s="13">
        <f t="shared" si="60"/>
        <v>2830.2000000000003</v>
      </c>
    </row>
    <row r="380" spans="1:40" s="16" customFormat="1" x14ac:dyDescent="0.3">
      <c r="A380" s="18">
        <v>379</v>
      </c>
      <c r="B380" s="8">
        <v>46282</v>
      </c>
      <c r="C380" s="8">
        <v>46282</v>
      </c>
      <c r="D380" s="48" t="s">
        <v>848</v>
      </c>
      <c r="E380" s="22"/>
      <c r="F380" s="9"/>
      <c r="G380" s="9"/>
      <c r="H380" s="31"/>
      <c r="I380" s="54" t="s">
        <v>849</v>
      </c>
      <c r="J380" s="36" t="s">
        <v>23</v>
      </c>
      <c r="K380" s="26" t="s">
        <v>30</v>
      </c>
      <c r="L380" s="48" t="s">
        <v>386</v>
      </c>
      <c r="M380" s="9" t="s">
        <v>31</v>
      </c>
      <c r="N380" s="9">
        <v>45.26</v>
      </c>
      <c r="O380" s="9">
        <v>12.02</v>
      </c>
      <c r="P380" s="52">
        <f t="shared" si="61"/>
        <v>33.239999999999995</v>
      </c>
      <c r="Q380" s="11">
        <v>550</v>
      </c>
      <c r="R380" s="12">
        <f t="shared" si="53"/>
        <v>18281.999999999996</v>
      </c>
      <c r="S380" s="11"/>
      <c r="T380" s="13"/>
      <c r="V380" s="19" t="s">
        <v>54</v>
      </c>
      <c r="W380" s="11"/>
      <c r="X380" s="14">
        <f t="shared" si="58"/>
        <v>0</v>
      </c>
      <c r="Y380" s="15"/>
      <c r="Z380" s="15">
        <f t="shared" si="59"/>
        <v>0</v>
      </c>
      <c r="AA380" s="13">
        <f t="shared" si="60"/>
        <v>18281.999999999996</v>
      </c>
    </row>
    <row r="381" spans="1:40" s="16" customFormat="1" x14ac:dyDescent="0.3">
      <c r="A381" s="18">
        <v>380</v>
      </c>
      <c r="B381" s="8">
        <v>46282</v>
      </c>
      <c r="C381" s="8">
        <v>46282</v>
      </c>
      <c r="D381" s="40">
        <v>260917023</v>
      </c>
      <c r="E381" s="22" t="s">
        <v>850</v>
      </c>
      <c r="F381" s="9" t="s">
        <v>851</v>
      </c>
      <c r="G381" s="9"/>
      <c r="H381" s="37">
        <v>136</v>
      </c>
      <c r="I381" s="39" t="s">
        <v>69</v>
      </c>
      <c r="J381" s="36" t="s">
        <v>23</v>
      </c>
      <c r="K381" s="26" t="s">
        <v>30</v>
      </c>
      <c r="L381" s="48" t="s">
        <v>170</v>
      </c>
      <c r="M381" s="9" t="s">
        <v>748</v>
      </c>
      <c r="N381" s="9">
        <v>60.4</v>
      </c>
      <c r="O381" s="9">
        <v>15.02</v>
      </c>
      <c r="P381" s="52">
        <f t="shared" si="61"/>
        <v>45.379999999999995</v>
      </c>
      <c r="Q381" s="11">
        <v>260</v>
      </c>
      <c r="R381" s="12">
        <f t="shared" si="53"/>
        <v>11798.8</v>
      </c>
      <c r="S381" s="11"/>
      <c r="T381" s="13"/>
      <c r="V381" s="19" t="s">
        <v>24</v>
      </c>
      <c r="W381" s="11"/>
      <c r="X381" s="14">
        <f t="shared" si="58"/>
        <v>0</v>
      </c>
      <c r="Y381" s="15">
        <v>115</v>
      </c>
      <c r="Z381" s="15">
        <f t="shared" si="59"/>
        <v>5218.7</v>
      </c>
      <c r="AA381" s="13">
        <f t="shared" si="60"/>
        <v>17017.5</v>
      </c>
    </row>
    <row r="382" spans="1:40" s="16" customFormat="1" x14ac:dyDescent="0.3">
      <c r="A382" s="18">
        <v>381</v>
      </c>
      <c r="B382" s="8">
        <v>46282</v>
      </c>
      <c r="C382" s="8">
        <v>46282</v>
      </c>
      <c r="D382" s="48">
        <v>260917024</v>
      </c>
      <c r="E382" s="22" t="s">
        <v>852</v>
      </c>
      <c r="F382" s="9" t="s">
        <v>853</v>
      </c>
      <c r="G382" s="9"/>
      <c r="H382" s="37">
        <v>136</v>
      </c>
      <c r="I382" s="39" t="s">
        <v>69</v>
      </c>
      <c r="J382" s="36" t="s">
        <v>23</v>
      </c>
      <c r="K382" s="26" t="s">
        <v>30</v>
      </c>
      <c r="L382" s="48" t="s">
        <v>74</v>
      </c>
      <c r="M382" s="9" t="s">
        <v>748</v>
      </c>
      <c r="N382" s="9">
        <v>59.62</v>
      </c>
      <c r="O382" s="9">
        <v>15.6</v>
      </c>
      <c r="P382" s="52">
        <f t="shared" si="61"/>
        <v>44.019999999999996</v>
      </c>
      <c r="Q382" s="11">
        <v>260</v>
      </c>
      <c r="R382" s="12">
        <f t="shared" si="53"/>
        <v>11445.199999999999</v>
      </c>
      <c r="S382" s="11"/>
      <c r="T382" s="13"/>
      <c r="V382" s="19" t="s">
        <v>24</v>
      </c>
      <c r="W382" s="11"/>
      <c r="X382" s="14">
        <f t="shared" si="58"/>
        <v>0</v>
      </c>
      <c r="Y382" s="15">
        <v>115</v>
      </c>
      <c r="Z382" s="15">
        <f t="shared" si="59"/>
        <v>5062.2999999999993</v>
      </c>
      <c r="AA382" s="13">
        <f t="shared" si="60"/>
        <v>16507.5</v>
      </c>
    </row>
    <row r="383" spans="1:40" s="16" customFormat="1" x14ac:dyDescent="0.3">
      <c r="A383" s="18">
        <v>382</v>
      </c>
      <c r="B383" s="8">
        <v>46282</v>
      </c>
      <c r="C383" s="8">
        <v>46282</v>
      </c>
      <c r="D383" s="48">
        <v>260917025</v>
      </c>
      <c r="E383" s="22" t="s">
        <v>854</v>
      </c>
      <c r="F383" s="9" t="s">
        <v>855</v>
      </c>
      <c r="G383" s="9"/>
      <c r="H383" s="37">
        <v>137</v>
      </c>
      <c r="I383" s="39" t="s">
        <v>69</v>
      </c>
      <c r="J383" s="36" t="s">
        <v>23</v>
      </c>
      <c r="K383" s="26" t="s">
        <v>30</v>
      </c>
      <c r="L383" s="48" t="s">
        <v>123</v>
      </c>
      <c r="M383" s="9" t="s">
        <v>748</v>
      </c>
      <c r="N383" s="9">
        <v>57.74</v>
      </c>
      <c r="O383" s="9">
        <v>15.86</v>
      </c>
      <c r="P383" s="52">
        <f t="shared" si="61"/>
        <v>41.88</v>
      </c>
      <c r="Q383" s="11">
        <v>260</v>
      </c>
      <c r="R383" s="12">
        <f t="shared" si="53"/>
        <v>10888.800000000001</v>
      </c>
      <c r="S383" s="11"/>
      <c r="T383" s="13"/>
      <c r="V383" s="19" t="s">
        <v>24</v>
      </c>
      <c r="W383" s="11"/>
      <c r="X383" s="14">
        <f t="shared" si="58"/>
        <v>0</v>
      </c>
      <c r="Y383" s="15">
        <v>115</v>
      </c>
      <c r="Z383" s="15">
        <f t="shared" si="59"/>
        <v>4816.2000000000007</v>
      </c>
      <c r="AA383" s="13">
        <f t="shared" si="60"/>
        <v>15705.000000000002</v>
      </c>
    </row>
    <row r="384" spans="1:40" s="16" customFormat="1" x14ac:dyDescent="0.3">
      <c r="A384" s="18">
        <v>383</v>
      </c>
      <c r="B384" s="8">
        <v>46282</v>
      </c>
      <c r="C384" s="8">
        <v>46282</v>
      </c>
      <c r="D384" s="48">
        <v>260917026</v>
      </c>
      <c r="E384" s="22" t="s">
        <v>856</v>
      </c>
      <c r="F384" s="9" t="s">
        <v>857</v>
      </c>
      <c r="G384" s="9"/>
      <c r="H384" s="37">
        <v>138</v>
      </c>
      <c r="I384" s="39" t="s">
        <v>69</v>
      </c>
      <c r="J384" s="36" t="s">
        <v>23</v>
      </c>
      <c r="K384" s="26" t="s">
        <v>30</v>
      </c>
      <c r="L384" s="48" t="s">
        <v>337</v>
      </c>
      <c r="M384" s="9" t="s">
        <v>748</v>
      </c>
      <c r="N384" s="9">
        <v>44.64</v>
      </c>
      <c r="O384" s="9">
        <v>11.3</v>
      </c>
      <c r="P384" s="52">
        <f t="shared" si="61"/>
        <v>33.340000000000003</v>
      </c>
      <c r="Q384" s="11">
        <v>260</v>
      </c>
      <c r="R384" s="12">
        <f t="shared" si="53"/>
        <v>8668.4000000000015</v>
      </c>
      <c r="S384" s="11"/>
      <c r="T384" s="13"/>
      <c r="V384" s="19" t="s">
        <v>24</v>
      </c>
      <c r="W384" s="11"/>
      <c r="X384" s="14">
        <f t="shared" si="58"/>
        <v>0</v>
      </c>
      <c r="Y384" s="15">
        <v>115</v>
      </c>
      <c r="Z384" s="15">
        <f t="shared" si="59"/>
        <v>3834.1000000000004</v>
      </c>
      <c r="AA384" s="13">
        <f t="shared" si="60"/>
        <v>12502.500000000002</v>
      </c>
    </row>
    <row r="385" spans="1:28" s="16" customFormat="1" x14ac:dyDescent="0.3">
      <c r="A385" s="18">
        <v>384</v>
      </c>
      <c r="B385" s="8">
        <v>46282</v>
      </c>
      <c r="C385" s="8">
        <v>46282</v>
      </c>
      <c r="D385" s="48">
        <v>260917027</v>
      </c>
      <c r="E385" s="22" t="s">
        <v>858</v>
      </c>
      <c r="F385" s="9" t="s">
        <v>859</v>
      </c>
      <c r="G385" s="9"/>
      <c r="H385" s="37">
        <v>139</v>
      </c>
      <c r="I385" s="39" t="s">
        <v>69</v>
      </c>
      <c r="J385" s="36" t="s">
        <v>23</v>
      </c>
      <c r="K385" s="26" t="s">
        <v>30</v>
      </c>
      <c r="L385" s="48" t="s">
        <v>82</v>
      </c>
      <c r="M385" s="9" t="s">
        <v>748</v>
      </c>
      <c r="N385" s="9">
        <v>58.64</v>
      </c>
      <c r="O385" s="9">
        <v>15.4</v>
      </c>
      <c r="P385" s="52">
        <f t="shared" si="61"/>
        <v>43.24</v>
      </c>
      <c r="Q385" s="11">
        <v>260</v>
      </c>
      <c r="R385" s="12">
        <f t="shared" si="53"/>
        <v>11242.4</v>
      </c>
      <c r="S385" s="11"/>
      <c r="T385" s="13"/>
      <c r="V385" s="19" t="s">
        <v>24</v>
      </c>
      <c r="W385" s="11"/>
      <c r="X385" s="14">
        <f t="shared" si="58"/>
        <v>0</v>
      </c>
      <c r="Y385" s="15">
        <v>115</v>
      </c>
      <c r="Z385" s="15">
        <f t="shared" si="59"/>
        <v>4972.6000000000004</v>
      </c>
      <c r="AA385" s="13">
        <f t="shared" si="60"/>
        <v>16215</v>
      </c>
    </row>
    <row r="386" spans="1:28" s="16" customFormat="1" x14ac:dyDescent="0.3">
      <c r="A386" s="18">
        <v>385</v>
      </c>
      <c r="B386" s="8">
        <v>46282</v>
      </c>
      <c r="C386" s="8">
        <v>46283</v>
      </c>
      <c r="D386" s="48">
        <v>260918001</v>
      </c>
      <c r="E386" s="22" t="s">
        <v>860</v>
      </c>
      <c r="F386" s="9" t="s">
        <v>861</v>
      </c>
      <c r="G386" s="9"/>
      <c r="H386" s="37">
        <v>139</v>
      </c>
      <c r="I386" s="39" t="s">
        <v>69</v>
      </c>
      <c r="J386" s="36" t="s">
        <v>23</v>
      </c>
      <c r="K386" s="26" t="s">
        <v>30</v>
      </c>
      <c r="L386" s="48" t="s">
        <v>85</v>
      </c>
      <c r="M386" s="9" t="s">
        <v>748</v>
      </c>
      <c r="N386" s="9">
        <v>52.56</v>
      </c>
      <c r="O386" s="9">
        <v>14.14</v>
      </c>
      <c r="P386" s="52">
        <f t="shared" si="61"/>
        <v>38.42</v>
      </c>
      <c r="Q386" s="11">
        <v>260</v>
      </c>
      <c r="R386" s="12">
        <f t="shared" ref="R386:R449" si="62">P386*Q386</f>
        <v>9989.2000000000007</v>
      </c>
      <c r="S386" s="11"/>
      <c r="T386" s="13"/>
      <c r="V386" s="19" t="s">
        <v>24</v>
      </c>
      <c r="W386" s="11"/>
      <c r="X386" s="14">
        <f t="shared" si="58"/>
        <v>0</v>
      </c>
      <c r="Y386" s="15">
        <v>115</v>
      </c>
      <c r="Z386" s="15">
        <f t="shared" si="59"/>
        <v>4418.3</v>
      </c>
      <c r="AA386" s="13">
        <f t="shared" si="60"/>
        <v>14407.5</v>
      </c>
    </row>
    <row r="387" spans="1:28" s="16" customFormat="1" x14ac:dyDescent="0.3">
      <c r="A387" s="18">
        <v>386</v>
      </c>
      <c r="B387" s="8">
        <v>46282</v>
      </c>
      <c r="C387" s="8">
        <v>46283</v>
      </c>
      <c r="D387" s="48">
        <v>260918002</v>
      </c>
      <c r="E387" s="22" t="s">
        <v>862</v>
      </c>
      <c r="F387" s="9" t="s">
        <v>863</v>
      </c>
      <c r="G387" s="9"/>
      <c r="H387" s="37">
        <v>139</v>
      </c>
      <c r="I387" s="39" t="s">
        <v>69</v>
      </c>
      <c r="J387" s="36" t="s">
        <v>23</v>
      </c>
      <c r="K387" s="26" t="s">
        <v>30</v>
      </c>
      <c r="L387" s="48" t="s">
        <v>82</v>
      </c>
      <c r="M387" s="9" t="s">
        <v>748</v>
      </c>
      <c r="N387" s="9">
        <v>57.82</v>
      </c>
      <c r="O387" s="9">
        <v>15.44</v>
      </c>
      <c r="P387" s="52">
        <f t="shared" si="61"/>
        <v>42.38</v>
      </c>
      <c r="Q387" s="11">
        <v>260</v>
      </c>
      <c r="R387" s="12">
        <f t="shared" si="62"/>
        <v>11018.800000000001</v>
      </c>
      <c r="S387" s="11"/>
      <c r="T387" s="13"/>
      <c r="V387" s="19" t="s">
        <v>24</v>
      </c>
      <c r="W387" s="11"/>
      <c r="X387" s="14">
        <f t="shared" si="58"/>
        <v>0</v>
      </c>
      <c r="Y387" s="15">
        <v>115</v>
      </c>
      <c r="Z387" s="15">
        <f t="shared" si="59"/>
        <v>4873.7000000000007</v>
      </c>
      <c r="AA387" s="13">
        <f t="shared" si="60"/>
        <v>15892.500000000002</v>
      </c>
    </row>
    <row r="388" spans="1:28" s="16" customFormat="1" x14ac:dyDescent="0.3">
      <c r="A388" s="18">
        <v>387</v>
      </c>
      <c r="B388" s="8">
        <v>46282</v>
      </c>
      <c r="C388" s="8">
        <v>46283</v>
      </c>
      <c r="D388" s="48">
        <v>260918003</v>
      </c>
      <c r="E388" s="22" t="s">
        <v>864</v>
      </c>
      <c r="F388" s="9" t="s">
        <v>865</v>
      </c>
      <c r="G388" s="9"/>
      <c r="H388" s="37">
        <v>139</v>
      </c>
      <c r="I388" s="39" t="s">
        <v>69</v>
      </c>
      <c r="J388" s="36" t="s">
        <v>23</v>
      </c>
      <c r="K388" s="26" t="s">
        <v>30</v>
      </c>
      <c r="L388" s="48" t="s">
        <v>85</v>
      </c>
      <c r="M388" s="9" t="s">
        <v>748</v>
      </c>
      <c r="N388" s="9">
        <v>57.3</v>
      </c>
      <c r="O388" s="9">
        <v>14.14</v>
      </c>
      <c r="P388" s="52">
        <f t="shared" si="61"/>
        <v>43.16</v>
      </c>
      <c r="Q388" s="11">
        <v>260</v>
      </c>
      <c r="R388" s="12">
        <f t="shared" si="62"/>
        <v>11221.599999999999</v>
      </c>
      <c r="S388" s="11"/>
      <c r="T388" s="13"/>
      <c r="V388" s="19" t="s">
        <v>24</v>
      </c>
      <c r="W388" s="11"/>
      <c r="X388" s="14">
        <f t="shared" si="58"/>
        <v>0</v>
      </c>
      <c r="Y388" s="15">
        <v>115</v>
      </c>
      <c r="Z388" s="15">
        <f t="shared" si="59"/>
        <v>4963.3999999999996</v>
      </c>
      <c r="AA388" s="13">
        <f t="shared" si="60"/>
        <v>16184.999999999998</v>
      </c>
    </row>
    <row r="389" spans="1:28" s="16" customFormat="1" x14ac:dyDescent="0.3">
      <c r="A389" s="18">
        <v>388</v>
      </c>
      <c r="B389" s="8">
        <v>46282</v>
      </c>
      <c r="C389" s="8">
        <v>46283</v>
      </c>
      <c r="D389" s="48">
        <v>260918004</v>
      </c>
      <c r="E389" s="22" t="s">
        <v>866</v>
      </c>
      <c r="F389" s="9" t="s">
        <v>867</v>
      </c>
      <c r="G389" s="9">
        <v>42</v>
      </c>
      <c r="H389" s="43">
        <v>84</v>
      </c>
      <c r="I389" s="55" t="s">
        <v>868</v>
      </c>
      <c r="J389" s="27" t="s">
        <v>23</v>
      </c>
      <c r="K389" s="26" t="s">
        <v>30</v>
      </c>
      <c r="L389" s="48" t="s">
        <v>114</v>
      </c>
      <c r="M389" s="9" t="s">
        <v>163</v>
      </c>
      <c r="N389" s="9">
        <v>59.16</v>
      </c>
      <c r="O389" s="9">
        <v>16.2</v>
      </c>
      <c r="P389" s="52">
        <f t="shared" si="61"/>
        <v>42.959999999999994</v>
      </c>
      <c r="Q389" s="11">
        <v>255</v>
      </c>
      <c r="R389" s="12">
        <f t="shared" si="62"/>
        <v>10954.8</v>
      </c>
      <c r="S389" s="11"/>
      <c r="T389" s="13"/>
      <c r="V389" s="19" t="s">
        <v>24</v>
      </c>
      <c r="W389" s="11">
        <v>145</v>
      </c>
      <c r="X389" s="14">
        <f t="shared" si="58"/>
        <v>6229.1999999999989</v>
      </c>
      <c r="Y389" s="15">
        <v>210</v>
      </c>
      <c r="Z389" s="15">
        <f t="shared" si="59"/>
        <v>9021.5999999999985</v>
      </c>
      <c r="AA389" s="13">
        <f t="shared" si="60"/>
        <v>26205.599999999999</v>
      </c>
    </row>
    <row r="390" spans="1:28" s="16" customFormat="1" x14ac:dyDescent="0.3">
      <c r="A390" s="18">
        <v>389</v>
      </c>
      <c r="B390" s="8">
        <v>46282</v>
      </c>
      <c r="C390" s="8">
        <v>46283</v>
      </c>
      <c r="D390" s="48">
        <v>260918005</v>
      </c>
      <c r="E390" s="22" t="s">
        <v>869</v>
      </c>
      <c r="F390" s="9" t="s">
        <v>870</v>
      </c>
      <c r="G390" s="9"/>
      <c r="H390" s="37">
        <v>139</v>
      </c>
      <c r="I390" s="39" t="s">
        <v>69</v>
      </c>
      <c r="J390" s="36" t="s">
        <v>23</v>
      </c>
      <c r="K390" s="26" t="s">
        <v>30</v>
      </c>
      <c r="L390" s="9" t="s">
        <v>74</v>
      </c>
      <c r="M390" s="9" t="s">
        <v>748</v>
      </c>
      <c r="N390" s="9">
        <v>61.86</v>
      </c>
      <c r="O390" s="9">
        <v>15.6</v>
      </c>
      <c r="P390" s="52">
        <f t="shared" si="61"/>
        <v>46.26</v>
      </c>
      <c r="Q390" s="11">
        <v>260</v>
      </c>
      <c r="R390" s="12">
        <f t="shared" si="62"/>
        <v>12027.6</v>
      </c>
      <c r="S390" s="11"/>
      <c r="T390" s="13"/>
      <c r="V390" s="19" t="s">
        <v>24</v>
      </c>
      <c r="W390" s="11"/>
      <c r="X390" s="14">
        <f t="shared" si="58"/>
        <v>0</v>
      </c>
      <c r="Y390" s="15">
        <v>115</v>
      </c>
      <c r="Z390" s="15">
        <f t="shared" si="59"/>
        <v>5319.9</v>
      </c>
      <c r="AA390" s="13">
        <f t="shared" si="60"/>
        <v>17347.5</v>
      </c>
    </row>
    <row r="391" spans="1:28" s="16" customFormat="1" x14ac:dyDescent="0.3">
      <c r="A391" s="18">
        <v>390</v>
      </c>
      <c r="B391" s="8">
        <v>46282</v>
      </c>
      <c r="C391" s="8">
        <v>46283</v>
      </c>
      <c r="D391" s="48">
        <v>260918006</v>
      </c>
      <c r="E391" s="22" t="s">
        <v>871</v>
      </c>
      <c r="F391" s="9" t="s">
        <v>872</v>
      </c>
      <c r="G391" s="9"/>
      <c r="H391" s="37">
        <v>139</v>
      </c>
      <c r="I391" s="39" t="s">
        <v>69</v>
      </c>
      <c r="J391" s="36" t="s">
        <v>23</v>
      </c>
      <c r="K391" s="26" t="s">
        <v>30</v>
      </c>
      <c r="L391" s="48" t="s">
        <v>70</v>
      </c>
      <c r="M391" s="9" t="s">
        <v>748</v>
      </c>
      <c r="N391" s="9">
        <v>62.34</v>
      </c>
      <c r="O391" s="9">
        <v>15.76</v>
      </c>
      <c r="P391" s="52">
        <f t="shared" si="61"/>
        <v>46.580000000000005</v>
      </c>
      <c r="Q391" s="11">
        <v>260</v>
      </c>
      <c r="R391" s="12">
        <f t="shared" si="62"/>
        <v>12110.800000000001</v>
      </c>
      <c r="S391" s="11"/>
      <c r="T391" s="13"/>
      <c r="V391" s="19" t="s">
        <v>24</v>
      </c>
      <c r="W391" s="11"/>
      <c r="X391" s="14">
        <f t="shared" si="58"/>
        <v>0</v>
      </c>
      <c r="Y391" s="15">
        <v>115</v>
      </c>
      <c r="Z391" s="15">
        <f t="shared" si="59"/>
        <v>5356.7000000000007</v>
      </c>
      <c r="AA391" s="13">
        <f t="shared" si="60"/>
        <v>17467.5</v>
      </c>
    </row>
    <row r="392" spans="1:28" s="16" customFormat="1" x14ac:dyDescent="0.3">
      <c r="A392" s="18">
        <v>391</v>
      </c>
      <c r="B392" s="8">
        <v>46282</v>
      </c>
      <c r="C392" s="8">
        <v>46283</v>
      </c>
      <c r="D392" s="48">
        <v>260918007</v>
      </c>
      <c r="E392" s="22" t="s">
        <v>873</v>
      </c>
      <c r="F392" s="9" t="s">
        <v>874</v>
      </c>
      <c r="G392" s="9"/>
      <c r="H392" s="37">
        <v>139</v>
      </c>
      <c r="I392" s="39" t="s">
        <v>69</v>
      </c>
      <c r="J392" s="36" t="s">
        <v>23</v>
      </c>
      <c r="K392" s="26" t="s">
        <v>30</v>
      </c>
      <c r="L392" s="48" t="s">
        <v>82</v>
      </c>
      <c r="M392" s="9" t="s">
        <v>748</v>
      </c>
      <c r="N392" s="9">
        <v>62.72</v>
      </c>
      <c r="O392" s="9">
        <v>15.6</v>
      </c>
      <c r="P392" s="52">
        <f t="shared" si="61"/>
        <v>47.12</v>
      </c>
      <c r="Q392" s="11">
        <v>260</v>
      </c>
      <c r="R392" s="12">
        <f t="shared" si="62"/>
        <v>12251.199999999999</v>
      </c>
      <c r="S392" s="11"/>
      <c r="T392" s="13"/>
      <c r="V392" s="19" t="s">
        <v>24</v>
      </c>
      <c r="W392" s="11"/>
      <c r="X392" s="14">
        <f t="shared" si="58"/>
        <v>0</v>
      </c>
      <c r="Y392" s="15">
        <v>115</v>
      </c>
      <c r="Z392" s="15">
        <f t="shared" si="59"/>
        <v>5418.7999999999993</v>
      </c>
      <c r="AA392" s="13">
        <f t="shared" si="60"/>
        <v>17670</v>
      </c>
    </row>
    <row r="393" spans="1:28" s="16" customFormat="1" x14ac:dyDescent="0.3">
      <c r="A393" s="18">
        <v>392</v>
      </c>
      <c r="B393" s="8">
        <v>46282</v>
      </c>
      <c r="C393" s="8">
        <v>46283</v>
      </c>
      <c r="D393" s="48">
        <v>260918008</v>
      </c>
      <c r="E393" s="22" t="s">
        <v>875</v>
      </c>
      <c r="F393" s="9" t="s">
        <v>876</v>
      </c>
      <c r="G393" s="9"/>
      <c r="H393" s="37">
        <v>139</v>
      </c>
      <c r="I393" s="39" t="s">
        <v>69</v>
      </c>
      <c r="J393" s="36" t="s">
        <v>23</v>
      </c>
      <c r="K393" s="26" t="s">
        <v>30</v>
      </c>
      <c r="L393" s="48" t="s">
        <v>162</v>
      </c>
      <c r="M393" s="9" t="s">
        <v>748</v>
      </c>
      <c r="N393" s="9">
        <v>46.24</v>
      </c>
      <c r="O393" s="9">
        <v>11.64</v>
      </c>
      <c r="P393" s="52">
        <f t="shared" si="61"/>
        <v>34.6</v>
      </c>
      <c r="Q393" s="11">
        <v>260</v>
      </c>
      <c r="R393" s="12">
        <f t="shared" si="62"/>
        <v>8996</v>
      </c>
      <c r="S393" s="11"/>
      <c r="T393" s="13"/>
      <c r="V393" s="19" t="s">
        <v>24</v>
      </c>
      <c r="W393" s="11"/>
      <c r="X393" s="14">
        <f t="shared" si="58"/>
        <v>0</v>
      </c>
      <c r="Y393" s="15">
        <v>115</v>
      </c>
      <c r="Z393" s="15">
        <f t="shared" si="59"/>
        <v>3979</v>
      </c>
      <c r="AA393" s="13">
        <f t="shared" si="60"/>
        <v>12975</v>
      </c>
    </row>
    <row r="394" spans="1:28" s="16" customFormat="1" x14ac:dyDescent="0.3">
      <c r="A394" s="18">
        <v>393</v>
      </c>
      <c r="B394" s="8">
        <v>46282</v>
      </c>
      <c r="C394" s="8">
        <v>46283</v>
      </c>
      <c r="D394" s="48">
        <v>260918009</v>
      </c>
      <c r="E394" s="22" t="s">
        <v>877</v>
      </c>
      <c r="F394" s="9" t="s">
        <v>878</v>
      </c>
      <c r="G394" s="9"/>
      <c r="H394" s="37">
        <v>139</v>
      </c>
      <c r="I394" s="39" t="s">
        <v>69</v>
      </c>
      <c r="J394" s="36" t="s">
        <v>23</v>
      </c>
      <c r="K394" s="26" t="s">
        <v>30</v>
      </c>
      <c r="L394" s="9" t="s">
        <v>111</v>
      </c>
      <c r="M394" s="9" t="s">
        <v>748</v>
      </c>
      <c r="N394" s="9">
        <v>45.68</v>
      </c>
      <c r="O394" s="9">
        <v>11.76</v>
      </c>
      <c r="P394" s="52">
        <f t="shared" si="61"/>
        <v>33.92</v>
      </c>
      <c r="Q394" s="11">
        <v>260</v>
      </c>
      <c r="R394" s="12">
        <f t="shared" si="62"/>
        <v>8819.2000000000007</v>
      </c>
      <c r="S394" s="11"/>
      <c r="T394" s="13"/>
      <c r="V394" s="19" t="s">
        <v>24</v>
      </c>
      <c r="W394" s="11"/>
      <c r="X394" s="14">
        <f t="shared" si="58"/>
        <v>0</v>
      </c>
      <c r="Y394" s="15">
        <v>115</v>
      </c>
      <c r="Z394" s="15">
        <f t="shared" si="59"/>
        <v>3900.8</v>
      </c>
      <c r="AA394" s="13">
        <f t="shared" si="60"/>
        <v>12720</v>
      </c>
    </row>
    <row r="395" spans="1:28" s="16" customFormat="1" x14ac:dyDescent="0.3">
      <c r="A395" s="18">
        <v>394</v>
      </c>
      <c r="B395" s="8">
        <v>46283</v>
      </c>
      <c r="C395" s="8">
        <v>46283</v>
      </c>
      <c r="D395" s="48">
        <v>260918010</v>
      </c>
      <c r="E395" s="22" t="s">
        <v>879</v>
      </c>
      <c r="F395" s="9" t="s">
        <v>880</v>
      </c>
      <c r="G395" s="9"/>
      <c r="H395" s="37">
        <v>136</v>
      </c>
      <c r="I395" s="39" t="s">
        <v>69</v>
      </c>
      <c r="J395" s="36" t="s">
        <v>23</v>
      </c>
      <c r="K395" s="26" t="s">
        <v>30</v>
      </c>
      <c r="L395" s="48" t="s">
        <v>337</v>
      </c>
      <c r="M395" s="9" t="s">
        <v>748</v>
      </c>
      <c r="N395" s="9">
        <v>42.28</v>
      </c>
      <c r="O395" s="9">
        <v>11.54</v>
      </c>
      <c r="P395" s="52">
        <f>N395-O395</f>
        <v>30.740000000000002</v>
      </c>
      <c r="Q395" s="11">
        <v>260</v>
      </c>
      <c r="R395" s="12">
        <f t="shared" si="62"/>
        <v>7992.4000000000005</v>
      </c>
      <c r="S395" s="11"/>
      <c r="T395" s="13"/>
      <c r="V395" s="19" t="s">
        <v>24</v>
      </c>
      <c r="W395" s="11"/>
      <c r="X395" s="14">
        <f t="shared" ref="X395:X405" si="63">P395*W395</f>
        <v>0</v>
      </c>
      <c r="Y395" s="15">
        <v>115</v>
      </c>
      <c r="Z395" s="15">
        <f t="shared" ref="Z395:Z405" si="64">P395*Y395</f>
        <v>3535.1000000000004</v>
      </c>
      <c r="AA395" s="13">
        <f t="shared" ref="AA395:AA405" si="65">R395+X395+Z395</f>
        <v>11527.5</v>
      </c>
      <c r="AB395" s="29"/>
    </row>
    <row r="396" spans="1:28" s="16" customFormat="1" x14ac:dyDescent="0.3">
      <c r="A396" s="18">
        <v>395</v>
      </c>
      <c r="B396" s="8">
        <v>46283</v>
      </c>
      <c r="C396" s="8">
        <v>46283</v>
      </c>
      <c r="D396" s="48">
        <v>260918011</v>
      </c>
      <c r="E396" s="22" t="s">
        <v>881</v>
      </c>
      <c r="F396" s="9" t="s">
        <v>882</v>
      </c>
      <c r="G396" s="9"/>
      <c r="H396" s="37">
        <v>136</v>
      </c>
      <c r="I396" s="39" t="s">
        <v>69</v>
      </c>
      <c r="J396" s="36" t="s">
        <v>23</v>
      </c>
      <c r="K396" s="26" t="s">
        <v>30</v>
      </c>
      <c r="L396" s="48" t="s">
        <v>123</v>
      </c>
      <c r="M396" s="9" t="s">
        <v>748</v>
      </c>
      <c r="N396" s="9">
        <v>60.1</v>
      </c>
      <c r="O396" s="9">
        <v>16.059999999999999</v>
      </c>
      <c r="P396" s="52">
        <f>N396-O396</f>
        <v>44.040000000000006</v>
      </c>
      <c r="Q396" s="11">
        <v>260</v>
      </c>
      <c r="R396" s="12">
        <f t="shared" si="62"/>
        <v>11450.400000000001</v>
      </c>
      <c r="S396" s="11"/>
      <c r="T396" s="13"/>
      <c r="V396" s="19" t="s">
        <v>24</v>
      </c>
      <c r="W396" s="11"/>
      <c r="X396" s="14">
        <f t="shared" si="63"/>
        <v>0</v>
      </c>
      <c r="Y396" s="15">
        <v>115</v>
      </c>
      <c r="Z396" s="15">
        <f t="shared" si="64"/>
        <v>5064.6000000000004</v>
      </c>
      <c r="AA396" s="13">
        <f t="shared" si="65"/>
        <v>16515</v>
      </c>
    </row>
    <row r="397" spans="1:28" s="28" customFormat="1" x14ac:dyDescent="0.3">
      <c r="A397" s="18">
        <v>396</v>
      </c>
      <c r="B397" s="8">
        <v>46283</v>
      </c>
      <c r="C397" s="8">
        <v>46283</v>
      </c>
      <c r="D397" s="48">
        <v>260918012</v>
      </c>
      <c r="E397" s="22" t="s">
        <v>883</v>
      </c>
      <c r="F397" s="9" t="s">
        <v>884</v>
      </c>
      <c r="G397" s="9"/>
      <c r="H397" s="37">
        <v>136</v>
      </c>
      <c r="I397" s="39" t="s">
        <v>69</v>
      </c>
      <c r="J397" s="36" t="s">
        <v>23</v>
      </c>
      <c r="K397" s="26" t="s">
        <v>30</v>
      </c>
      <c r="L397" s="48" t="s">
        <v>85</v>
      </c>
      <c r="M397" s="9" t="s">
        <v>748</v>
      </c>
      <c r="N397" s="9">
        <v>56.84</v>
      </c>
      <c r="O397" s="9">
        <v>14.26</v>
      </c>
      <c r="P397" s="52">
        <f t="shared" ref="P397:P405" si="66">N397-O397</f>
        <v>42.580000000000005</v>
      </c>
      <c r="Q397" s="11">
        <v>260</v>
      </c>
      <c r="R397" s="12">
        <f t="shared" si="62"/>
        <v>11070.800000000001</v>
      </c>
      <c r="S397" s="11"/>
      <c r="T397" s="13"/>
      <c r="V397" s="19" t="s">
        <v>24</v>
      </c>
      <c r="W397" s="11"/>
      <c r="X397" s="14">
        <f t="shared" si="63"/>
        <v>0</v>
      </c>
      <c r="Y397" s="15">
        <v>115</v>
      </c>
      <c r="Z397" s="15">
        <f t="shared" si="64"/>
        <v>4896.7000000000007</v>
      </c>
      <c r="AA397" s="13">
        <f t="shared" si="65"/>
        <v>15967.500000000002</v>
      </c>
    </row>
    <row r="398" spans="1:28" s="16" customFormat="1" x14ac:dyDescent="0.3">
      <c r="A398" s="18">
        <v>397</v>
      </c>
      <c r="B398" s="8">
        <v>46283</v>
      </c>
      <c r="C398" s="8">
        <v>46283</v>
      </c>
      <c r="D398" s="48">
        <v>260918013</v>
      </c>
      <c r="E398" s="22" t="s">
        <v>885</v>
      </c>
      <c r="F398" s="9" t="s">
        <v>886</v>
      </c>
      <c r="G398" s="9">
        <v>33</v>
      </c>
      <c r="H398" s="43">
        <v>24</v>
      </c>
      <c r="I398" s="26" t="s">
        <v>308</v>
      </c>
      <c r="J398" s="27" t="s">
        <v>23</v>
      </c>
      <c r="K398" s="26" t="s">
        <v>30</v>
      </c>
      <c r="L398" s="48" t="s">
        <v>386</v>
      </c>
      <c r="M398" s="9" t="s">
        <v>108</v>
      </c>
      <c r="N398" s="9">
        <v>45.22</v>
      </c>
      <c r="O398" s="9">
        <v>12.04</v>
      </c>
      <c r="P398" s="52">
        <f t="shared" si="66"/>
        <v>33.18</v>
      </c>
      <c r="Q398" s="11">
        <v>335</v>
      </c>
      <c r="R398" s="12">
        <f t="shared" si="62"/>
        <v>11115.3</v>
      </c>
      <c r="S398" s="11"/>
      <c r="T398" s="13"/>
      <c r="V398" s="19" t="s">
        <v>24</v>
      </c>
      <c r="W398" s="11">
        <v>145</v>
      </c>
      <c r="X398" s="14">
        <f t="shared" si="63"/>
        <v>4811.1000000000004</v>
      </c>
      <c r="Y398" s="15">
        <v>260</v>
      </c>
      <c r="Z398" s="15">
        <f t="shared" si="64"/>
        <v>8626.7999999999993</v>
      </c>
      <c r="AA398" s="13">
        <f t="shared" si="65"/>
        <v>24553.199999999997</v>
      </c>
    </row>
    <row r="399" spans="1:28" s="16" customFormat="1" x14ac:dyDescent="0.3">
      <c r="A399" s="18">
        <v>398</v>
      </c>
      <c r="B399" s="8">
        <v>46283</v>
      </c>
      <c r="C399" s="8">
        <v>46283</v>
      </c>
      <c r="D399" s="48">
        <v>260918014</v>
      </c>
      <c r="E399" s="22" t="s">
        <v>887</v>
      </c>
      <c r="F399" s="9" t="s">
        <v>888</v>
      </c>
      <c r="G399" s="9"/>
      <c r="H399" s="37">
        <v>136</v>
      </c>
      <c r="I399" s="39" t="s">
        <v>69</v>
      </c>
      <c r="J399" s="36" t="s">
        <v>23</v>
      </c>
      <c r="K399" s="26" t="s">
        <v>30</v>
      </c>
      <c r="L399" s="9" t="s">
        <v>70</v>
      </c>
      <c r="M399" s="9" t="s">
        <v>748</v>
      </c>
      <c r="N399" s="9">
        <v>59.88</v>
      </c>
      <c r="O399" s="9">
        <v>15.82</v>
      </c>
      <c r="P399" s="52">
        <f t="shared" si="66"/>
        <v>44.06</v>
      </c>
      <c r="Q399" s="11">
        <v>260</v>
      </c>
      <c r="R399" s="12">
        <f t="shared" si="62"/>
        <v>11455.6</v>
      </c>
      <c r="S399" s="11"/>
      <c r="T399" s="13"/>
      <c r="V399" s="19" t="s">
        <v>24</v>
      </c>
      <c r="W399" s="11"/>
      <c r="X399" s="14">
        <f t="shared" si="63"/>
        <v>0</v>
      </c>
      <c r="Y399" s="15">
        <v>115</v>
      </c>
      <c r="Z399" s="15">
        <f t="shared" si="64"/>
        <v>5066.9000000000005</v>
      </c>
      <c r="AA399" s="13">
        <f t="shared" si="65"/>
        <v>16522.5</v>
      </c>
    </row>
    <row r="400" spans="1:28" s="28" customFormat="1" x14ac:dyDescent="0.3">
      <c r="A400" s="18">
        <v>399</v>
      </c>
      <c r="B400" s="8">
        <v>46283</v>
      </c>
      <c r="C400" s="8">
        <v>46283</v>
      </c>
      <c r="D400" s="48">
        <v>260918015</v>
      </c>
      <c r="E400" s="22" t="s">
        <v>889</v>
      </c>
      <c r="F400" s="9" t="s">
        <v>890</v>
      </c>
      <c r="G400" s="9"/>
      <c r="H400" s="37">
        <v>136</v>
      </c>
      <c r="I400" s="39" t="s">
        <v>69</v>
      </c>
      <c r="J400" s="36" t="s">
        <v>23</v>
      </c>
      <c r="K400" s="26" t="s">
        <v>30</v>
      </c>
      <c r="L400" s="48" t="s">
        <v>82</v>
      </c>
      <c r="M400" s="9" t="s">
        <v>748</v>
      </c>
      <c r="N400" s="9">
        <v>59.5</v>
      </c>
      <c r="O400" s="9">
        <v>15.46</v>
      </c>
      <c r="P400" s="52">
        <f t="shared" si="66"/>
        <v>44.04</v>
      </c>
      <c r="Q400" s="11">
        <v>260</v>
      </c>
      <c r="R400" s="12">
        <f t="shared" si="62"/>
        <v>11450.4</v>
      </c>
      <c r="S400" s="11"/>
      <c r="T400" s="13"/>
      <c r="V400" s="19" t="s">
        <v>24</v>
      </c>
      <c r="W400" s="11"/>
      <c r="X400" s="14">
        <f t="shared" si="63"/>
        <v>0</v>
      </c>
      <c r="Y400" s="15">
        <v>115</v>
      </c>
      <c r="Z400" s="15">
        <f t="shared" si="64"/>
        <v>5064.5999999999995</v>
      </c>
      <c r="AA400" s="13">
        <f t="shared" si="65"/>
        <v>16515</v>
      </c>
    </row>
    <row r="401" spans="1:28" s="16" customFormat="1" x14ac:dyDescent="0.3">
      <c r="A401" s="18">
        <v>400</v>
      </c>
      <c r="B401" s="8">
        <v>46283</v>
      </c>
      <c r="C401" s="8">
        <v>46283</v>
      </c>
      <c r="D401" s="48">
        <v>260918016</v>
      </c>
      <c r="E401" s="22" t="s">
        <v>891</v>
      </c>
      <c r="F401" s="9" t="s">
        <v>892</v>
      </c>
      <c r="G401" s="9"/>
      <c r="H401" s="37">
        <v>136</v>
      </c>
      <c r="I401" s="39" t="s">
        <v>69</v>
      </c>
      <c r="J401" s="36" t="s">
        <v>23</v>
      </c>
      <c r="K401" s="26" t="s">
        <v>30</v>
      </c>
      <c r="L401" s="9" t="s">
        <v>188</v>
      </c>
      <c r="M401" s="9" t="s">
        <v>748</v>
      </c>
      <c r="N401" s="9">
        <v>48.86</v>
      </c>
      <c r="O401" s="9">
        <v>11.64</v>
      </c>
      <c r="P401" s="52">
        <f t="shared" si="66"/>
        <v>37.22</v>
      </c>
      <c r="Q401" s="11">
        <v>260</v>
      </c>
      <c r="R401" s="12">
        <f t="shared" si="62"/>
        <v>9677.1999999999989</v>
      </c>
      <c r="S401" s="11"/>
      <c r="T401" s="13"/>
      <c r="V401" s="19" t="s">
        <v>24</v>
      </c>
      <c r="W401" s="11"/>
      <c r="X401" s="14">
        <f t="shared" si="63"/>
        <v>0</v>
      </c>
      <c r="Y401" s="15">
        <v>115</v>
      </c>
      <c r="Z401" s="15">
        <f t="shared" si="64"/>
        <v>4280.3</v>
      </c>
      <c r="AA401" s="13">
        <f t="shared" si="65"/>
        <v>13957.5</v>
      </c>
    </row>
    <row r="402" spans="1:28" s="16" customFormat="1" x14ac:dyDescent="0.3">
      <c r="A402" s="18">
        <v>401</v>
      </c>
      <c r="B402" s="8">
        <v>46283</v>
      </c>
      <c r="C402" s="8">
        <v>46283</v>
      </c>
      <c r="D402" s="48" t="s">
        <v>893</v>
      </c>
      <c r="E402" s="22"/>
      <c r="F402" s="9"/>
      <c r="G402" s="9"/>
      <c r="H402" s="34">
        <v>270</v>
      </c>
      <c r="I402" s="35" t="s">
        <v>401</v>
      </c>
      <c r="J402" s="36" t="s">
        <v>23</v>
      </c>
      <c r="K402" s="26" t="s">
        <v>297</v>
      </c>
      <c r="L402" s="9" t="s">
        <v>894</v>
      </c>
      <c r="M402" s="9" t="s">
        <v>34</v>
      </c>
      <c r="N402" s="9">
        <v>7.92</v>
      </c>
      <c r="O402" s="9">
        <v>3.22</v>
      </c>
      <c r="P402" s="52">
        <f t="shared" si="66"/>
        <v>4.6999999999999993</v>
      </c>
      <c r="Q402" s="11">
        <v>150</v>
      </c>
      <c r="R402" s="12">
        <f t="shared" si="62"/>
        <v>704.99999999999989</v>
      </c>
      <c r="S402" s="11">
        <v>705</v>
      </c>
      <c r="T402" s="13"/>
      <c r="V402" s="19" t="s">
        <v>24</v>
      </c>
      <c r="W402" s="11"/>
      <c r="X402" s="14">
        <f t="shared" si="63"/>
        <v>0</v>
      </c>
      <c r="Y402" s="15"/>
      <c r="Z402" s="15">
        <f t="shared" si="64"/>
        <v>0</v>
      </c>
      <c r="AA402" s="13">
        <f t="shared" si="65"/>
        <v>704.99999999999989</v>
      </c>
    </row>
    <row r="403" spans="1:28" s="16" customFormat="1" x14ac:dyDescent="0.3">
      <c r="A403" s="18">
        <v>402</v>
      </c>
      <c r="B403" s="8">
        <v>46283</v>
      </c>
      <c r="C403" s="8">
        <v>46283</v>
      </c>
      <c r="D403" s="48">
        <v>260919001</v>
      </c>
      <c r="E403" s="22" t="s">
        <v>895</v>
      </c>
      <c r="F403" s="9" t="s">
        <v>896</v>
      </c>
      <c r="G403" s="9">
        <v>34</v>
      </c>
      <c r="H403" s="37">
        <v>140</v>
      </c>
      <c r="I403" s="26" t="s">
        <v>187</v>
      </c>
      <c r="J403" s="6" t="s">
        <v>23</v>
      </c>
      <c r="K403" s="26" t="s">
        <v>30</v>
      </c>
      <c r="L403" s="48" t="s">
        <v>188</v>
      </c>
      <c r="M403" s="9" t="s">
        <v>31</v>
      </c>
      <c r="N403" s="9">
        <v>46.16</v>
      </c>
      <c r="O403" s="9">
        <v>11.84</v>
      </c>
      <c r="P403" s="52">
        <f t="shared" si="66"/>
        <v>34.319999999999993</v>
      </c>
      <c r="Q403" s="11">
        <v>575</v>
      </c>
      <c r="R403" s="12">
        <f t="shared" si="62"/>
        <v>19733.999999999996</v>
      </c>
      <c r="S403" s="11"/>
      <c r="T403" s="13"/>
      <c r="V403" s="19" t="s">
        <v>24</v>
      </c>
      <c r="W403" s="11">
        <v>145</v>
      </c>
      <c r="X403" s="14">
        <f t="shared" si="63"/>
        <v>4976.3999999999987</v>
      </c>
      <c r="Y403" s="15">
        <v>180</v>
      </c>
      <c r="Z403" s="15">
        <f t="shared" si="64"/>
        <v>6177.5999999999985</v>
      </c>
      <c r="AA403" s="13">
        <f t="shared" si="65"/>
        <v>30887.999999999993</v>
      </c>
    </row>
    <row r="404" spans="1:28" s="16" customFormat="1" x14ac:dyDescent="0.3">
      <c r="A404" s="18">
        <v>403</v>
      </c>
      <c r="B404" s="8">
        <v>46283</v>
      </c>
      <c r="C404" s="8">
        <v>46283</v>
      </c>
      <c r="D404" s="48">
        <v>260919002</v>
      </c>
      <c r="E404" s="22" t="s">
        <v>897</v>
      </c>
      <c r="F404" s="9" t="s">
        <v>898</v>
      </c>
      <c r="G404" s="9">
        <v>45</v>
      </c>
      <c r="H404" s="37">
        <v>140</v>
      </c>
      <c r="I404" s="26" t="s">
        <v>187</v>
      </c>
      <c r="J404" s="6" t="s">
        <v>23</v>
      </c>
      <c r="K404" s="26" t="s">
        <v>30</v>
      </c>
      <c r="L404" s="48" t="s">
        <v>768</v>
      </c>
      <c r="M404" s="9" t="s">
        <v>108</v>
      </c>
      <c r="N404" s="9">
        <v>61.92</v>
      </c>
      <c r="O404" s="9">
        <v>16.079999999999998</v>
      </c>
      <c r="P404" s="52">
        <f t="shared" si="66"/>
        <v>45.84</v>
      </c>
      <c r="Q404" s="11">
        <v>340</v>
      </c>
      <c r="R404" s="12">
        <f t="shared" si="62"/>
        <v>15585.6</v>
      </c>
      <c r="S404" s="11"/>
      <c r="T404" s="13"/>
      <c r="V404" s="19" t="s">
        <v>24</v>
      </c>
      <c r="W404" s="11">
        <v>145</v>
      </c>
      <c r="X404" s="14">
        <f t="shared" si="63"/>
        <v>6646.8</v>
      </c>
      <c r="Y404" s="15">
        <v>180</v>
      </c>
      <c r="Z404" s="15">
        <f t="shared" si="64"/>
        <v>8251.2000000000007</v>
      </c>
      <c r="AA404" s="13">
        <f t="shared" si="65"/>
        <v>30483.600000000002</v>
      </c>
    </row>
    <row r="405" spans="1:28" s="16" customFormat="1" x14ac:dyDescent="0.3">
      <c r="A405" s="18">
        <v>404</v>
      </c>
      <c r="B405" s="8">
        <v>46283</v>
      </c>
      <c r="C405" s="8">
        <v>46283</v>
      </c>
      <c r="D405" s="48">
        <v>260919003</v>
      </c>
      <c r="E405" s="22" t="s">
        <v>899</v>
      </c>
      <c r="F405" s="9" t="s">
        <v>900</v>
      </c>
      <c r="G405" s="9">
        <v>43</v>
      </c>
      <c r="H405" s="37">
        <v>140</v>
      </c>
      <c r="I405" s="26" t="s">
        <v>187</v>
      </c>
      <c r="J405" s="6" t="s">
        <v>23</v>
      </c>
      <c r="K405" s="26" t="s">
        <v>30</v>
      </c>
      <c r="L405" s="48" t="s">
        <v>132</v>
      </c>
      <c r="M405" s="9" t="s">
        <v>31</v>
      </c>
      <c r="N405" s="9">
        <v>59.22</v>
      </c>
      <c r="O405" s="9">
        <v>15.62</v>
      </c>
      <c r="P405" s="52">
        <f t="shared" si="66"/>
        <v>43.6</v>
      </c>
      <c r="Q405" s="11">
        <v>575</v>
      </c>
      <c r="R405" s="12">
        <f t="shared" si="62"/>
        <v>25070</v>
      </c>
      <c r="S405" s="11"/>
      <c r="T405" s="13"/>
      <c r="V405" s="19" t="s">
        <v>24</v>
      </c>
      <c r="W405" s="11">
        <v>145</v>
      </c>
      <c r="X405" s="14">
        <f t="shared" si="63"/>
        <v>6322</v>
      </c>
      <c r="Y405" s="15">
        <v>180</v>
      </c>
      <c r="Z405" s="15">
        <f t="shared" si="64"/>
        <v>7848</v>
      </c>
      <c r="AA405" s="13">
        <f t="shared" si="65"/>
        <v>39240</v>
      </c>
    </row>
    <row r="406" spans="1:28" s="16" customFormat="1" x14ac:dyDescent="0.3">
      <c r="A406" s="18">
        <v>405</v>
      </c>
      <c r="B406" s="8">
        <v>46284</v>
      </c>
      <c r="C406" s="8">
        <v>46284</v>
      </c>
      <c r="D406" s="48" t="s">
        <v>901</v>
      </c>
      <c r="E406" s="22"/>
      <c r="F406" s="9"/>
      <c r="G406" s="9"/>
      <c r="H406" s="31"/>
      <c r="I406" s="54" t="s">
        <v>902</v>
      </c>
      <c r="J406" s="53" t="s">
        <v>23</v>
      </c>
      <c r="K406" s="31" t="s">
        <v>297</v>
      </c>
      <c r="L406" s="48" t="s">
        <v>903</v>
      </c>
      <c r="M406" s="9" t="s">
        <v>34</v>
      </c>
      <c r="N406" s="9">
        <v>9.06</v>
      </c>
      <c r="O406" s="9">
        <v>3.74</v>
      </c>
      <c r="P406" s="52">
        <f>N406-O406</f>
        <v>5.32</v>
      </c>
      <c r="Q406" s="11">
        <v>150</v>
      </c>
      <c r="R406" s="12">
        <f t="shared" si="62"/>
        <v>798</v>
      </c>
      <c r="S406" s="11">
        <v>798</v>
      </c>
      <c r="T406" s="13"/>
      <c r="V406" s="19" t="s">
        <v>24</v>
      </c>
      <c r="W406" s="11"/>
      <c r="X406" s="14">
        <f t="shared" ref="X406:X439" si="67">P406*W406</f>
        <v>0</v>
      </c>
      <c r="Y406" s="15"/>
      <c r="Z406" s="15">
        <f t="shared" ref="Z406:Z439" si="68">P406*Y406</f>
        <v>0</v>
      </c>
      <c r="AA406" s="13">
        <f t="shared" ref="AA406:AA439" si="69">R406+X406+Z406</f>
        <v>798</v>
      </c>
      <c r="AB406" s="29"/>
    </row>
    <row r="407" spans="1:28" s="16" customFormat="1" x14ac:dyDescent="0.3">
      <c r="A407" s="18">
        <v>406</v>
      </c>
      <c r="B407" s="8">
        <v>46284</v>
      </c>
      <c r="C407" s="8">
        <v>46284</v>
      </c>
      <c r="D407" s="48">
        <v>260919004</v>
      </c>
      <c r="E407" s="22" t="s">
        <v>904</v>
      </c>
      <c r="F407" s="9" t="s">
        <v>905</v>
      </c>
      <c r="G407" s="9">
        <v>35</v>
      </c>
      <c r="H407" s="43">
        <v>42</v>
      </c>
      <c r="I407" s="26" t="s">
        <v>169</v>
      </c>
      <c r="J407" s="27" t="s">
        <v>23</v>
      </c>
      <c r="K407" s="26" t="s">
        <v>30</v>
      </c>
      <c r="L407" s="48" t="s">
        <v>111</v>
      </c>
      <c r="M407" s="9" t="s">
        <v>173</v>
      </c>
      <c r="N407" s="9">
        <v>47.14</v>
      </c>
      <c r="O407" s="9">
        <v>12.02</v>
      </c>
      <c r="P407" s="52">
        <f>N407-O407</f>
        <v>35.120000000000005</v>
      </c>
      <c r="Q407" s="11">
        <v>470</v>
      </c>
      <c r="R407" s="12">
        <f t="shared" si="62"/>
        <v>16506.400000000001</v>
      </c>
      <c r="S407" s="11"/>
      <c r="T407" s="13"/>
      <c r="V407" s="19" t="s">
        <v>24</v>
      </c>
      <c r="W407" s="11">
        <v>145</v>
      </c>
      <c r="X407" s="14">
        <f t="shared" si="67"/>
        <v>5092.4000000000005</v>
      </c>
      <c r="Y407" s="15">
        <v>260</v>
      </c>
      <c r="Z407" s="15">
        <f t="shared" si="68"/>
        <v>9131.2000000000007</v>
      </c>
      <c r="AA407" s="13">
        <f t="shared" si="69"/>
        <v>30730.000000000004</v>
      </c>
    </row>
    <row r="408" spans="1:28" s="28" customFormat="1" x14ac:dyDescent="0.3">
      <c r="A408" s="18">
        <v>407</v>
      </c>
      <c r="B408" s="8">
        <v>46284</v>
      </c>
      <c r="C408" s="8">
        <v>46284</v>
      </c>
      <c r="D408" s="48">
        <v>260919005</v>
      </c>
      <c r="E408" s="22" t="s">
        <v>906</v>
      </c>
      <c r="F408" s="9" t="s">
        <v>907</v>
      </c>
      <c r="G408" s="9">
        <v>33</v>
      </c>
      <c r="H408" s="43">
        <v>42</v>
      </c>
      <c r="I408" s="26" t="s">
        <v>169</v>
      </c>
      <c r="J408" s="27" t="s">
        <v>23</v>
      </c>
      <c r="K408" s="26" t="s">
        <v>30</v>
      </c>
      <c r="L408" s="48" t="s">
        <v>162</v>
      </c>
      <c r="M408" s="9" t="s">
        <v>173</v>
      </c>
      <c r="N408" s="9">
        <v>45.4</v>
      </c>
      <c r="O408" s="9">
        <v>11.72</v>
      </c>
      <c r="P408" s="52">
        <f t="shared" ref="P408:P417" si="70">N408-O408</f>
        <v>33.68</v>
      </c>
      <c r="Q408" s="11">
        <v>470</v>
      </c>
      <c r="R408" s="12">
        <f t="shared" si="62"/>
        <v>15829.6</v>
      </c>
      <c r="S408" s="11"/>
      <c r="T408" s="13"/>
      <c r="V408" s="19" t="s">
        <v>24</v>
      </c>
      <c r="W408" s="11">
        <v>145</v>
      </c>
      <c r="X408" s="14">
        <f t="shared" si="67"/>
        <v>4883.6000000000004</v>
      </c>
      <c r="Y408" s="15">
        <v>260</v>
      </c>
      <c r="Z408" s="15">
        <f t="shared" si="68"/>
        <v>8756.7999999999993</v>
      </c>
      <c r="AA408" s="13">
        <f t="shared" si="69"/>
        <v>29470</v>
      </c>
    </row>
    <row r="409" spans="1:28" s="16" customFormat="1" x14ac:dyDescent="0.3">
      <c r="A409" s="18">
        <v>408</v>
      </c>
      <c r="B409" s="8">
        <v>46284</v>
      </c>
      <c r="C409" s="8">
        <v>46284</v>
      </c>
      <c r="D409" s="48">
        <v>260919006</v>
      </c>
      <c r="E409" s="22" t="s">
        <v>908</v>
      </c>
      <c r="F409" s="9" t="s">
        <v>909</v>
      </c>
      <c r="G409" s="9">
        <v>34</v>
      </c>
      <c r="H409" s="43">
        <v>42</v>
      </c>
      <c r="I409" s="26" t="s">
        <v>169</v>
      </c>
      <c r="J409" s="27" t="s">
        <v>23</v>
      </c>
      <c r="K409" s="26" t="s">
        <v>30</v>
      </c>
      <c r="L409" s="48" t="s">
        <v>386</v>
      </c>
      <c r="M409" s="9" t="s">
        <v>31</v>
      </c>
      <c r="N409" s="9">
        <v>45.92</v>
      </c>
      <c r="O409" s="9">
        <v>11.88</v>
      </c>
      <c r="P409" s="52">
        <f t="shared" si="70"/>
        <v>34.04</v>
      </c>
      <c r="Q409" s="11">
        <v>525</v>
      </c>
      <c r="R409" s="12">
        <f t="shared" si="62"/>
        <v>17871</v>
      </c>
      <c r="S409" s="11"/>
      <c r="T409" s="13"/>
      <c r="V409" s="19" t="s">
        <v>24</v>
      </c>
      <c r="W409" s="11">
        <v>145</v>
      </c>
      <c r="X409" s="14">
        <f t="shared" si="67"/>
        <v>4935.8</v>
      </c>
      <c r="Y409" s="15">
        <v>260</v>
      </c>
      <c r="Z409" s="15">
        <f t="shared" si="68"/>
        <v>8850.4</v>
      </c>
      <c r="AA409" s="13">
        <f t="shared" si="69"/>
        <v>31657.199999999997</v>
      </c>
    </row>
    <row r="410" spans="1:28" s="16" customFormat="1" x14ac:dyDescent="0.3">
      <c r="A410" s="18">
        <v>409</v>
      </c>
      <c r="B410" s="8">
        <v>46284</v>
      </c>
      <c r="C410" s="8">
        <v>46284</v>
      </c>
      <c r="D410" s="48">
        <v>260919007</v>
      </c>
      <c r="E410" s="22" t="s">
        <v>910</v>
      </c>
      <c r="F410" s="9" t="s">
        <v>911</v>
      </c>
      <c r="G410" s="9">
        <v>45</v>
      </c>
      <c r="H410" s="43">
        <v>42</v>
      </c>
      <c r="I410" s="26" t="s">
        <v>169</v>
      </c>
      <c r="J410" s="27" t="s">
        <v>23</v>
      </c>
      <c r="K410" s="26" t="s">
        <v>30</v>
      </c>
      <c r="L410" s="9" t="s">
        <v>193</v>
      </c>
      <c r="M410" s="9" t="s">
        <v>108</v>
      </c>
      <c r="N410" s="9">
        <v>61.84</v>
      </c>
      <c r="O410" s="9">
        <v>16.64</v>
      </c>
      <c r="P410" s="52">
        <f t="shared" si="70"/>
        <v>45.2</v>
      </c>
      <c r="Q410" s="11">
        <v>340</v>
      </c>
      <c r="R410" s="12">
        <f t="shared" si="62"/>
        <v>15368.000000000002</v>
      </c>
      <c r="S410" s="11"/>
      <c r="T410" s="13"/>
      <c r="V410" s="19" t="s">
        <v>24</v>
      </c>
      <c r="W410" s="11">
        <v>145</v>
      </c>
      <c r="X410" s="14">
        <f t="shared" si="67"/>
        <v>6554</v>
      </c>
      <c r="Y410" s="15">
        <v>260</v>
      </c>
      <c r="Z410" s="15">
        <f t="shared" si="68"/>
        <v>11752</v>
      </c>
      <c r="AA410" s="13">
        <f t="shared" si="69"/>
        <v>33674</v>
      </c>
    </row>
    <row r="411" spans="1:28" s="28" customFormat="1" x14ac:dyDescent="0.3">
      <c r="A411" s="18">
        <v>410</v>
      </c>
      <c r="B411" s="8">
        <v>46284</v>
      </c>
      <c r="C411" s="8">
        <v>46284</v>
      </c>
      <c r="D411" s="48">
        <v>260919008</v>
      </c>
      <c r="E411" s="22" t="s">
        <v>912</v>
      </c>
      <c r="F411" s="9" t="s">
        <v>913</v>
      </c>
      <c r="G411" s="9">
        <v>45</v>
      </c>
      <c r="H411" s="43">
        <v>42</v>
      </c>
      <c r="I411" s="26" t="s">
        <v>169</v>
      </c>
      <c r="J411" s="27" t="s">
        <v>23</v>
      </c>
      <c r="K411" s="26" t="s">
        <v>30</v>
      </c>
      <c r="L411" s="48" t="s">
        <v>184</v>
      </c>
      <c r="M411" s="9" t="s">
        <v>31</v>
      </c>
      <c r="N411" s="9">
        <v>61.78</v>
      </c>
      <c r="O411" s="9">
        <v>16.38</v>
      </c>
      <c r="P411" s="52">
        <f t="shared" si="70"/>
        <v>45.400000000000006</v>
      </c>
      <c r="Q411" s="11">
        <v>525</v>
      </c>
      <c r="R411" s="12">
        <f t="shared" si="62"/>
        <v>23835.000000000004</v>
      </c>
      <c r="S411" s="11"/>
      <c r="T411" s="13"/>
      <c r="V411" s="19" t="s">
        <v>24</v>
      </c>
      <c r="W411" s="11">
        <v>145</v>
      </c>
      <c r="X411" s="14">
        <f t="shared" si="67"/>
        <v>6583.0000000000009</v>
      </c>
      <c r="Y411" s="15">
        <v>260</v>
      </c>
      <c r="Z411" s="15">
        <f t="shared" si="68"/>
        <v>11804.000000000002</v>
      </c>
      <c r="AA411" s="13">
        <f t="shared" si="69"/>
        <v>42222.000000000007</v>
      </c>
    </row>
    <row r="412" spans="1:28" s="16" customFormat="1" x14ac:dyDescent="0.3">
      <c r="A412" s="18">
        <v>411</v>
      </c>
      <c r="B412" s="8">
        <v>46284</v>
      </c>
      <c r="C412" s="8">
        <v>46284</v>
      </c>
      <c r="D412" s="48" t="s">
        <v>914</v>
      </c>
      <c r="E412" s="22"/>
      <c r="F412" s="9"/>
      <c r="G412" s="9"/>
      <c r="H412" s="31"/>
      <c r="I412" s="54" t="s">
        <v>902</v>
      </c>
      <c r="J412" s="53" t="s">
        <v>23</v>
      </c>
      <c r="K412" s="31" t="s">
        <v>297</v>
      </c>
      <c r="L412" s="48" t="s">
        <v>903</v>
      </c>
      <c r="M412" s="9" t="s">
        <v>34</v>
      </c>
      <c r="N412" s="9">
        <v>8.74</v>
      </c>
      <c r="O412" s="9">
        <v>3.34</v>
      </c>
      <c r="P412" s="52">
        <f t="shared" si="70"/>
        <v>5.4</v>
      </c>
      <c r="Q412" s="11">
        <v>150</v>
      </c>
      <c r="R412" s="12">
        <f t="shared" si="62"/>
        <v>810</v>
      </c>
      <c r="S412" s="11">
        <v>810</v>
      </c>
      <c r="T412" s="13"/>
      <c r="V412" s="19" t="s">
        <v>24</v>
      </c>
      <c r="W412" s="11"/>
      <c r="X412" s="14">
        <f t="shared" si="67"/>
        <v>0</v>
      </c>
      <c r="Y412" s="15"/>
      <c r="Z412" s="15">
        <f t="shared" si="68"/>
        <v>0</v>
      </c>
      <c r="AA412" s="13">
        <f t="shared" si="69"/>
        <v>810</v>
      </c>
    </row>
    <row r="413" spans="1:28" s="16" customFormat="1" x14ac:dyDescent="0.3">
      <c r="A413" s="18">
        <v>412</v>
      </c>
      <c r="B413" s="8">
        <v>46284</v>
      </c>
      <c r="C413" s="8">
        <v>46284</v>
      </c>
      <c r="D413" s="48" t="s">
        <v>915</v>
      </c>
      <c r="E413" s="22"/>
      <c r="F413" s="9"/>
      <c r="G413" s="9"/>
      <c r="H413" s="46"/>
      <c r="I413" s="62" t="s">
        <v>916</v>
      </c>
      <c r="J413" s="53" t="s">
        <v>23</v>
      </c>
      <c r="K413" s="31" t="s">
        <v>297</v>
      </c>
      <c r="L413" s="9" t="s">
        <v>917</v>
      </c>
      <c r="M413" s="9" t="s">
        <v>163</v>
      </c>
      <c r="N413" s="9">
        <v>43.06</v>
      </c>
      <c r="O413" s="9">
        <v>11.9</v>
      </c>
      <c r="P413" s="52">
        <f t="shared" si="70"/>
        <v>31.160000000000004</v>
      </c>
      <c r="Q413" s="11">
        <v>200</v>
      </c>
      <c r="R413" s="12">
        <f t="shared" si="62"/>
        <v>6232.0000000000009</v>
      </c>
      <c r="S413" s="11">
        <v>6232</v>
      </c>
      <c r="T413" s="13"/>
      <c r="V413" s="19" t="s">
        <v>54</v>
      </c>
      <c r="W413" s="11"/>
      <c r="X413" s="14">
        <f t="shared" si="67"/>
        <v>0</v>
      </c>
      <c r="Y413" s="15"/>
      <c r="Z413" s="15">
        <f t="shared" si="68"/>
        <v>0</v>
      </c>
      <c r="AA413" s="13">
        <f t="shared" si="69"/>
        <v>6232.0000000000009</v>
      </c>
    </row>
    <row r="414" spans="1:28" s="16" customFormat="1" x14ac:dyDescent="0.3">
      <c r="A414" s="18">
        <v>413</v>
      </c>
      <c r="B414" s="8">
        <v>46284</v>
      </c>
      <c r="C414" s="8">
        <v>46284</v>
      </c>
      <c r="D414" s="48" t="s">
        <v>918</v>
      </c>
      <c r="E414" s="22"/>
      <c r="F414" s="9"/>
      <c r="G414" s="9"/>
      <c r="H414" s="34">
        <v>270</v>
      </c>
      <c r="I414" s="35" t="s">
        <v>401</v>
      </c>
      <c r="J414" s="36" t="s">
        <v>23</v>
      </c>
      <c r="K414" s="26" t="s">
        <v>297</v>
      </c>
      <c r="L414" s="48" t="s">
        <v>894</v>
      </c>
      <c r="M414" s="9" t="s">
        <v>34</v>
      </c>
      <c r="N414" s="9">
        <v>7.66</v>
      </c>
      <c r="O414" s="9">
        <v>3.24</v>
      </c>
      <c r="P414" s="52">
        <f t="shared" si="70"/>
        <v>4.42</v>
      </c>
      <c r="Q414" s="11">
        <v>150</v>
      </c>
      <c r="R414" s="12">
        <f t="shared" si="62"/>
        <v>663</v>
      </c>
      <c r="S414" s="11">
        <v>663</v>
      </c>
      <c r="T414" s="13"/>
      <c r="V414" s="19" t="s">
        <v>24</v>
      </c>
      <c r="W414" s="11"/>
      <c r="X414" s="14">
        <f t="shared" si="67"/>
        <v>0</v>
      </c>
      <c r="Y414" s="15"/>
      <c r="Z414" s="15">
        <f t="shared" si="68"/>
        <v>0</v>
      </c>
      <c r="AA414" s="13">
        <f t="shared" si="69"/>
        <v>663</v>
      </c>
    </row>
    <row r="415" spans="1:28" s="16" customFormat="1" x14ac:dyDescent="0.3">
      <c r="A415" s="18">
        <v>414</v>
      </c>
      <c r="B415" s="8">
        <v>46284</v>
      </c>
      <c r="C415" s="8">
        <v>46284</v>
      </c>
      <c r="D415" s="48" t="s">
        <v>919</v>
      </c>
      <c r="E415" s="22"/>
      <c r="F415" s="9"/>
      <c r="G415" s="9"/>
      <c r="H415" s="31"/>
      <c r="I415" s="54" t="s">
        <v>902</v>
      </c>
      <c r="J415" s="53" t="s">
        <v>23</v>
      </c>
      <c r="K415" s="31" t="s">
        <v>297</v>
      </c>
      <c r="L415" s="48" t="s">
        <v>903</v>
      </c>
      <c r="M415" s="9" t="s">
        <v>34</v>
      </c>
      <c r="N415" s="9">
        <v>8.36</v>
      </c>
      <c r="O415" s="9">
        <v>3.36</v>
      </c>
      <c r="P415" s="52">
        <f t="shared" si="70"/>
        <v>5</v>
      </c>
      <c r="Q415" s="11">
        <v>150</v>
      </c>
      <c r="R415" s="12">
        <f t="shared" si="62"/>
        <v>750</v>
      </c>
      <c r="S415" s="11">
        <v>750</v>
      </c>
      <c r="T415" s="13"/>
      <c r="V415" s="19" t="s">
        <v>24</v>
      </c>
      <c r="W415" s="11"/>
      <c r="X415" s="14">
        <f t="shared" si="67"/>
        <v>0</v>
      </c>
      <c r="Y415" s="15"/>
      <c r="Z415" s="15">
        <f t="shared" si="68"/>
        <v>0</v>
      </c>
      <c r="AA415" s="13">
        <f t="shared" si="69"/>
        <v>750</v>
      </c>
    </row>
    <row r="416" spans="1:28" s="16" customFormat="1" x14ac:dyDescent="0.3">
      <c r="A416" s="18">
        <v>415</v>
      </c>
      <c r="B416" s="8">
        <v>46284</v>
      </c>
      <c r="C416" s="8">
        <v>46284</v>
      </c>
      <c r="D416" s="40" t="s">
        <v>920</v>
      </c>
      <c r="E416" s="22"/>
      <c r="F416" s="9"/>
      <c r="G416" s="9"/>
      <c r="H416" s="31"/>
      <c r="I416" s="62" t="s">
        <v>916</v>
      </c>
      <c r="J416" s="53" t="s">
        <v>23</v>
      </c>
      <c r="K416" s="31" t="s">
        <v>297</v>
      </c>
      <c r="L416" s="9" t="s">
        <v>917</v>
      </c>
      <c r="M416" s="9" t="s">
        <v>108</v>
      </c>
      <c r="N416" s="9">
        <v>38.78</v>
      </c>
      <c r="O416" s="9">
        <v>12.04</v>
      </c>
      <c r="P416" s="52">
        <f t="shared" si="70"/>
        <v>26.740000000000002</v>
      </c>
      <c r="Q416" s="11">
        <v>340</v>
      </c>
      <c r="R416" s="12">
        <f t="shared" si="62"/>
        <v>9091.6</v>
      </c>
      <c r="S416" s="11">
        <v>9092</v>
      </c>
      <c r="T416" s="13"/>
      <c r="V416" s="19" t="s">
        <v>54</v>
      </c>
      <c r="W416" s="11"/>
      <c r="X416" s="14">
        <f t="shared" si="67"/>
        <v>0</v>
      </c>
      <c r="Y416" s="15"/>
      <c r="Z416" s="15">
        <f t="shared" si="68"/>
        <v>0</v>
      </c>
      <c r="AA416" s="13">
        <f t="shared" si="69"/>
        <v>9091.6</v>
      </c>
    </row>
    <row r="417" spans="1:28" s="16" customFormat="1" x14ac:dyDescent="0.3">
      <c r="A417" s="18">
        <v>416</v>
      </c>
      <c r="B417" s="8">
        <v>46284</v>
      </c>
      <c r="C417" s="8">
        <v>46284</v>
      </c>
      <c r="D417" s="48" t="s">
        <v>921</v>
      </c>
      <c r="E417" s="22"/>
      <c r="F417" s="9"/>
      <c r="G417" s="9"/>
      <c r="H417" s="31"/>
      <c r="I417" s="62" t="s">
        <v>916</v>
      </c>
      <c r="J417" s="53" t="s">
        <v>23</v>
      </c>
      <c r="K417" s="31" t="s">
        <v>297</v>
      </c>
      <c r="L417" s="9" t="s">
        <v>917</v>
      </c>
      <c r="M417" s="9" t="s">
        <v>922</v>
      </c>
      <c r="N417" s="9">
        <v>44.22</v>
      </c>
      <c r="O417" s="9">
        <v>38.78</v>
      </c>
      <c r="P417" s="52">
        <f t="shared" si="70"/>
        <v>5.4399999999999977</v>
      </c>
      <c r="Q417" s="11">
        <v>320</v>
      </c>
      <c r="R417" s="12">
        <f t="shared" si="62"/>
        <v>1740.7999999999993</v>
      </c>
      <c r="S417" s="11">
        <v>1741</v>
      </c>
      <c r="T417" s="13"/>
      <c r="V417" s="19" t="s">
        <v>54</v>
      </c>
      <c r="W417" s="11"/>
      <c r="X417" s="14">
        <f t="shared" si="67"/>
        <v>0</v>
      </c>
      <c r="Y417" s="15"/>
      <c r="Z417" s="15">
        <f t="shared" si="68"/>
        <v>0</v>
      </c>
      <c r="AA417" s="13">
        <f t="shared" si="69"/>
        <v>1740.7999999999993</v>
      </c>
    </row>
    <row r="418" spans="1:28" s="16" customFormat="1" x14ac:dyDescent="0.3">
      <c r="A418" s="18">
        <v>417</v>
      </c>
      <c r="B418" s="8">
        <v>46285</v>
      </c>
      <c r="C418" s="8">
        <v>46285</v>
      </c>
      <c r="D418" s="48" t="s">
        <v>923</v>
      </c>
      <c r="E418" s="22"/>
      <c r="F418" s="9"/>
      <c r="G418" s="9"/>
      <c r="H418" s="63">
        <v>56</v>
      </c>
      <c r="I418" s="26" t="s">
        <v>554</v>
      </c>
      <c r="J418" s="36" t="s">
        <v>23</v>
      </c>
      <c r="K418" s="26" t="s">
        <v>30</v>
      </c>
      <c r="L418" s="48" t="s">
        <v>379</v>
      </c>
      <c r="M418" s="9" t="s">
        <v>31</v>
      </c>
      <c r="N418" s="9">
        <v>19.96</v>
      </c>
      <c r="O418" s="9">
        <v>7.22</v>
      </c>
      <c r="P418" s="52">
        <f>N418-O418</f>
        <v>12.740000000000002</v>
      </c>
      <c r="Q418" s="11">
        <v>550</v>
      </c>
      <c r="R418" s="12">
        <f t="shared" si="62"/>
        <v>7007.0000000000009</v>
      </c>
      <c r="S418" s="11"/>
      <c r="T418" s="13"/>
      <c r="V418" s="19" t="s">
        <v>181</v>
      </c>
      <c r="W418" s="11"/>
      <c r="X418" s="14">
        <f t="shared" si="67"/>
        <v>0</v>
      </c>
      <c r="Y418" s="15"/>
      <c r="Z418" s="15">
        <f t="shared" si="68"/>
        <v>0</v>
      </c>
      <c r="AA418" s="13">
        <f t="shared" si="69"/>
        <v>7007.0000000000009</v>
      </c>
      <c r="AB418" s="29"/>
    </row>
    <row r="419" spans="1:28" s="16" customFormat="1" x14ac:dyDescent="0.3">
      <c r="A419" s="18">
        <v>418</v>
      </c>
      <c r="B419" s="8">
        <v>46285</v>
      </c>
      <c r="C419" s="8">
        <v>46285</v>
      </c>
      <c r="D419" s="48" t="s">
        <v>924</v>
      </c>
      <c r="E419" s="22"/>
      <c r="F419" s="9"/>
      <c r="G419" s="9"/>
      <c r="H419" s="32"/>
      <c r="I419" s="31" t="s">
        <v>925</v>
      </c>
      <c r="J419" s="36" t="s">
        <v>23</v>
      </c>
      <c r="K419" s="26" t="s">
        <v>30</v>
      </c>
      <c r="L419" s="48" t="s">
        <v>926</v>
      </c>
      <c r="M419" s="9" t="s">
        <v>31</v>
      </c>
      <c r="N419" s="9">
        <v>19.7</v>
      </c>
      <c r="O419" s="9">
        <v>7.56</v>
      </c>
      <c r="P419" s="52">
        <f>N419-O419</f>
        <v>12.14</v>
      </c>
      <c r="Q419" s="11">
        <v>550</v>
      </c>
      <c r="R419" s="12">
        <f t="shared" si="62"/>
        <v>6677</v>
      </c>
      <c r="S419" s="11"/>
      <c r="T419" s="13"/>
      <c r="V419" s="19" t="s">
        <v>54</v>
      </c>
      <c r="W419" s="11"/>
      <c r="X419" s="14">
        <f t="shared" si="67"/>
        <v>0</v>
      </c>
      <c r="Y419" s="15"/>
      <c r="Z419" s="15">
        <f t="shared" si="68"/>
        <v>0</v>
      </c>
      <c r="AA419" s="13">
        <f t="shared" si="69"/>
        <v>6677</v>
      </c>
    </row>
    <row r="420" spans="1:28" s="28" customFormat="1" x14ac:dyDescent="0.3">
      <c r="A420" s="18">
        <v>419</v>
      </c>
      <c r="B420" s="8">
        <v>46285</v>
      </c>
      <c r="C420" s="8">
        <v>46285</v>
      </c>
      <c r="D420" s="48" t="s">
        <v>927</v>
      </c>
      <c r="E420" s="22"/>
      <c r="F420" s="9"/>
      <c r="G420" s="9"/>
      <c r="H420" s="32"/>
      <c r="I420" s="31" t="s">
        <v>928</v>
      </c>
      <c r="J420" s="36" t="s">
        <v>23</v>
      </c>
      <c r="K420" s="26" t="s">
        <v>30</v>
      </c>
      <c r="L420" s="48" t="s">
        <v>929</v>
      </c>
      <c r="M420" s="9" t="s">
        <v>31</v>
      </c>
      <c r="N420" s="9">
        <v>19.66</v>
      </c>
      <c r="O420" s="9">
        <v>7.54</v>
      </c>
      <c r="P420" s="52">
        <f t="shared" ref="P420:P439" si="71">N420-O420</f>
        <v>12.120000000000001</v>
      </c>
      <c r="Q420" s="11">
        <v>550</v>
      </c>
      <c r="R420" s="12">
        <f t="shared" si="62"/>
        <v>6666.0000000000009</v>
      </c>
      <c r="S420" s="11"/>
      <c r="T420" s="13"/>
      <c r="V420" s="19" t="s">
        <v>54</v>
      </c>
      <c r="W420" s="11"/>
      <c r="X420" s="14">
        <f t="shared" si="67"/>
        <v>0</v>
      </c>
      <c r="Y420" s="15"/>
      <c r="Z420" s="15">
        <f t="shared" si="68"/>
        <v>0</v>
      </c>
      <c r="AA420" s="13">
        <f t="shared" si="69"/>
        <v>6666.0000000000009</v>
      </c>
    </row>
    <row r="421" spans="1:28" s="16" customFormat="1" x14ac:dyDescent="0.3">
      <c r="A421" s="18">
        <v>420</v>
      </c>
      <c r="B421" s="8">
        <v>46285</v>
      </c>
      <c r="C421" s="8">
        <v>46285</v>
      </c>
      <c r="D421" s="48" t="s">
        <v>930</v>
      </c>
      <c r="E421" s="22"/>
      <c r="F421" s="9"/>
      <c r="G421" s="9"/>
      <c r="H421" s="63">
        <v>56</v>
      </c>
      <c r="I421" s="26" t="s">
        <v>554</v>
      </c>
      <c r="J421" s="36" t="s">
        <v>23</v>
      </c>
      <c r="K421" s="26" t="s">
        <v>30</v>
      </c>
      <c r="L421" s="48" t="s">
        <v>379</v>
      </c>
      <c r="M421" s="9" t="s">
        <v>31</v>
      </c>
      <c r="N421" s="9">
        <v>20</v>
      </c>
      <c r="O421" s="9">
        <v>7.58</v>
      </c>
      <c r="P421" s="52">
        <f t="shared" si="71"/>
        <v>12.42</v>
      </c>
      <c r="Q421" s="11">
        <v>550</v>
      </c>
      <c r="R421" s="12">
        <f t="shared" si="62"/>
        <v>6831</v>
      </c>
      <c r="S421" s="11"/>
      <c r="T421" s="13"/>
      <c r="V421" s="19" t="s">
        <v>181</v>
      </c>
      <c r="W421" s="11"/>
      <c r="X421" s="14">
        <f t="shared" si="67"/>
        <v>0</v>
      </c>
      <c r="Y421" s="15"/>
      <c r="Z421" s="15">
        <f t="shared" si="68"/>
        <v>0</v>
      </c>
      <c r="AA421" s="13">
        <f t="shared" si="69"/>
        <v>6831</v>
      </c>
    </row>
    <row r="422" spans="1:28" s="16" customFormat="1" x14ac:dyDescent="0.3">
      <c r="A422" s="18">
        <v>421</v>
      </c>
      <c r="B422" s="8">
        <v>46285</v>
      </c>
      <c r="C422" s="8">
        <v>46285</v>
      </c>
      <c r="D422" s="48" t="s">
        <v>931</v>
      </c>
      <c r="E422" s="22"/>
      <c r="F422" s="9"/>
      <c r="G422" s="9"/>
      <c r="H422" s="34">
        <v>404</v>
      </c>
      <c r="I422" s="64" t="s">
        <v>391</v>
      </c>
      <c r="J422" s="36" t="s">
        <v>23</v>
      </c>
      <c r="K422" s="26" t="s">
        <v>297</v>
      </c>
      <c r="L422" s="9" t="s">
        <v>392</v>
      </c>
      <c r="M422" s="9" t="s">
        <v>31</v>
      </c>
      <c r="N422" s="9">
        <v>9.02</v>
      </c>
      <c r="O422" s="9">
        <v>3.64</v>
      </c>
      <c r="P422" s="52">
        <f t="shared" si="71"/>
        <v>5.379999999999999</v>
      </c>
      <c r="Q422" s="11">
        <v>550</v>
      </c>
      <c r="R422" s="12">
        <f t="shared" si="62"/>
        <v>2958.9999999999995</v>
      </c>
      <c r="S422" s="11">
        <v>2959</v>
      </c>
      <c r="T422" s="13"/>
      <c r="V422" s="19" t="s">
        <v>24</v>
      </c>
      <c r="W422" s="11"/>
      <c r="X422" s="14">
        <f t="shared" si="67"/>
        <v>0</v>
      </c>
      <c r="Y422" s="15"/>
      <c r="Z422" s="15">
        <f t="shared" si="68"/>
        <v>0</v>
      </c>
      <c r="AA422" s="13">
        <f t="shared" si="69"/>
        <v>2958.9999999999995</v>
      </c>
    </row>
    <row r="423" spans="1:28" s="28" customFormat="1" x14ac:dyDescent="0.3">
      <c r="A423" s="18">
        <v>422</v>
      </c>
      <c r="B423" s="8">
        <v>46285</v>
      </c>
      <c r="C423" s="8">
        <v>46285</v>
      </c>
      <c r="D423" s="48">
        <v>260920001</v>
      </c>
      <c r="E423" s="22" t="s">
        <v>932</v>
      </c>
      <c r="F423" s="9" t="s">
        <v>933</v>
      </c>
      <c r="G423" s="9">
        <v>44</v>
      </c>
      <c r="H423" s="37">
        <v>130</v>
      </c>
      <c r="I423" s="26" t="s">
        <v>344</v>
      </c>
      <c r="J423" s="36" t="s">
        <v>23</v>
      </c>
      <c r="K423" s="26" t="s">
        <v>30</v>
      </c>
      <c r="L423" s="48" t="s">
        <v>580</v>
      </c>
      <c r="M423" s="9" t="s">
        <v>31</v>
      </c>
      <c r="N423" s="9">
        <v>61.02</v>
      </c>
      <c r="O423" s="9">
        <v>16.079999999999998</v>
      </c>
      <c r="P423" s="52">
        <f t="shared" si="71"/>
        <v>44.940000000000005</v>
      </c>
      <c r="Q423" s="11">
        <v>520</v>
      </c>
      <c r="R423" s="12">
        <f t="shared" si="62"/>
        <v>23368.800000000003</v>
      </c>
      <c r="S423" s="11"/>
      <c r="T423" s="13"/>
      <c r="V423" s="19" t="s">
        <v>181</v>
      </c>
      <c r="W423" s="11">
        <v>150</v>
      </c>
      <c r="X423" s="14">
        <f t="shared" si="67"/>
        <v>6741.0000000000009</v>
      </c>
      <c r="Y423" s="15"/>
      <c r="Z423" s="15">
        <f t="shared" si="68"/>
        <v>0</v>
      </c>
      <c r="AA423" s="13">
        <f t="shared" si="69"/>
        <v>30109.800000000003</v>
      </c>
    </row>
    <row r="424" spans="1:28" s="16" customFormat="1" x14ac:dyDescent="0.3">
      <c r="A424" s="18">
        <v>423</v>
      </c>
      <c r="B424" s="8">
        <v>46285</v>
      </c>
      <c r="C424" s="8">
        <v>46285</v>
      </c>
      <c r="D424" s="48">
        <v>260920002</v>
      </c>
      <c r="E424" s="22" t="s">
        <v>934</v>
      </c>
      <c r="F424" s="9" t="s">
        <v>935</v>
      </c>
      <c r="G424" s="9">
        <v>44</v>
      </c>
      <c r="H424" s="37">
        <v>130</v>
      </c>
      <c r="I424" s="26" t="s">
        <v>344</v>
      </c>
      <c r="J424" s="36" t="s">
        <v>23</v>
      </c>
      <c r="K424" s="26" t="s">
        <v>30</v>
      </c>
      <c r="L424" s="48" t="s">
        <v>936</v>
      </c>
      <c r="M424" s="9" t="s">
        <v>31</v>
      </c>
      <c r="N424" s="9">
        <v>60.94</v>
      </c>
      <c r="O424" s="9">
        <v>16.3</v>
      </c>
      <c r="P424" s="52">
        <f t="shared" si="71"/>
        <v>44.64</v>
      </c>
      <c r="Q424" s="11">
        <v>520</v>
      </c>
      <c r="R424" s="12">
        <f t="shared" si="62"/>
        <v>23212.799999999999</v>
      </c>
      <c r="S424" s="11"/>
      <c r="T424" s="13"/>
      <c r="V424" s="19" t="s">
        <v>181</v>
      </c>
      <c r="W424" s="11">
        <v>150</v>
      </c>
      <c r="X424" s="14">
        <f t="shared" si="67"/>
        <v>6696</v>
      </c>
      <c r="Y424" s="15"/>
      <c r="Z424" s="15">
        <f t="shared" si="68"/>
        <v>0</v>
      </c>
      <c r="AA424" s="13">
        <f t="shared" si="69"/>
        <v>29908.799999999999</v>
      </c>
    </row>
    <row r="425" spans="1:28" s="16" customFormat="1" x14ac:dyDescent="0.3">
      <c r="A425" s="18">
        <v>424</v>
      </c>
      <c r="B425" s="8">
        <v>46285</v>
      </c>
      <c r="C425" s="8">
        <v>46285</v>
      </c>
      <c r="D425" s="58" t="s">
        <v>937</v>
      </c>
      <c r="E425" s="22"/>
      <c r="F425" s="9"/>
      <c r="G425" s="9"/>
      <c r="H425" s="46"/>
      <c r="I425" s="62" t="s">
        <v>938</v>
      </c>
      <c r="J425" s="53" t="s">
        <v>23</v>
      </c>
      <c r="K425" s="31" t="s">
        <v>30</v>
      </c>
      <c r="L425" s="9" t="s">
        <v>939</v>
      </c>
      <c r="M425" s="9" t="s">
        <v>31</v>
      </c>
      <c r="N425" s="9">
        <v>18.36</v>
      </c>
      <c r="O425" s="9">
        <v>7.3</v>
      </c>
      <c r="P425" s="52">
        <f t="shared" si="71"/>
        <v>11.059999999999999</v>
      </c>
      <c r="Q425" s="11">
        <v>550</v>
      </c>
      <c r="R425" s="12">
        <f t="shared" si="62"/>
        <v>6082.9999999999991</v>
      </c>
      <c r="S425" s="11"/>
      <c r="T425" s="13"/>
      <c r="V425" s="19" t="s">
        <v>54</v>
      </c>
      <c r="W425" s="11"/>
      <c r="X425" s="14">
        <f t="shared" si="67"/>
        <v>0</v>
      </c>
      <c r="Y425" s="15"/>
      <c r="Z425" s="15">
        <f t="shared" si="68"/>
        <v>0</v>
      </c>
      <c r="AA425" s="13">
        <f t="shared" si="69"/>
        <v>6082.9999999999991</v>
      </c>
    </row>
    <row r="426" spans="1:28" s="16" customFormat="1" x14ac:dyDescent="0.3">
      <c r="A426" s="18">
        <v>425</v>
      </c>
      <c r="B426" s="8">
        <v>46285</v>
      </c>
      <c r="C426" s="8">
        <v>46286</v>
      </c>
      <c r="D426" s="48" t="s">
        <v>940</v>
      </c>
      <c r="E426" s="22"/>
      <c r="F426" s="9"/>
      <c r="G426" s="9"/>
      <c r="H426" s="46"/>
      <c r="I426" s="62" t="s">
        <v>938</v>
      </c>
      <c r="J426" s="53" t="s">
        <v>23</v>
      </c>
      <c r="K426" s="31" t="s">
        <v>30</v>
      </c>
      <c r="L426" s="9" t="s">
        <v>939</v>
      </c>
      <c r="M426" s="9" t="s">
        <v>31</v>
      </c>
      <c r="N426" s="9">
        <v>18.440000000000001</v>
      </c>
      <c r="O426" s="9">
        <v>7.3</v>
      </c>
      <c r="P426" s="52">
        <f t="shared" si="71"/>
        <v>11.14</v>
      </c>
      <c r="Q426" s="11">
        <v>550</v>
      </c>
      <c r="R426" s="12">
        <f t="shared" si="62"/>
        <v>6127</v>
      </c>
      <c r="S426" s="11"/>
      <c r="T426" s="13"/>
      <c r="V426" s="19" t="s">
        <v>54</v>
      </c>
      <c r="W426" s="11"/>
      <c r="X426" s="14">
        <f t="shared" si="67"/>
        <v>0</v>
      </c>
      <c r="Y426" s="15"/>
      <c r="Z426" s="15">
        <f t="shared" si="68"/>
        <v>0</v>
      </c>
      <c r="AA426" s="13">
        <f t="shared" si="69"/>
        <v>6127</v>
      </c>
    </row>
    <row r="427" spans="1:28" s="16" customFormat="1" x14ac:dyDescent="0.3">
      <c r="A427" s="18">
        <v>426</v>
      </c>
      <c r="B427" s="8">
        <v>46285</v>
      </c>
      <c r="C427" s="8">
        <v>46286</v>
      </c>
      <c r="D427" s="24">
        <v>2609211113001</v>
      </c>
      <c r="E427" s="22" t="s">
        <v>941</v>
      </c>
      <c r="F427" s="9" t="s">
        <v>942</v>
      </c>
      <c r="G427" s="9">
        <v>39</v>
      </c>
      <c r="H427" s="43">
        <v>42</v>
      </c>
      <c r="I427" s="26" t="s">
        <v>169</v>
      </c>
      <c r="J427" s="27" t="s">
        <v>23</v>
      </c>
      <c r="K427" s="26" t="s">
        <v>30</v>
      </c>
      <c r="L427" s="48" t="s">
        <v>70</v>
      </c>
      <c r="M427" s="9" t="s">
        <v>31</v>
      </c>
      <c r="N427" s="9">
        <v>55.24</v>
      </c>
      <c r="O427" s="9">
        <v>15.72</v>
      </c>
      <c r="P427" s="52">
        <f t="shared" si="71"/>
        <v>39.520000000000003</v>
      </c>
      <c r="Q427" s="11">
        <v>525</v>
      </c>
      <c r="R427" s="12">
        <f t="shared" si="62"/>
        <v>20748</v>
      </c>
      <c r="S427" s="11"/>
      <c r="T427" s="13"/>
      <c r="V427" s="19" t="s">
        <v>24</v>
      </c>
      <c r="W427" s="11">
        <v>145</v>
      </c>
      <c r="X427" s="14">
        <f t="shared" si="67"/>
        <v>5730.4000000000005</v>
      </c>
      <c r="Y427" s="15">
        <v>260</v>
      </c>
      <c r="Z427" s="15">
        <f t="shared" si="68"/>
        <v>10275.200000000001</v>
      </c>
      <c r="AA427" s="13">
        <f t="shared" si="69"/>
        <v>36753.600000000006</v>
      </c>
    </row>
    <row r="428" spans="1:28" s="16" customFormat="1" x14ac:dyDescent="0.3">
      <c r="A428" s="18">
        <v>427</v>
      </c>
      <c r="B428" s="8">
        <v>46285</v>
      </c>
      <c r="C428" s="8">
        <v>46286</v>
      </c>
      <c r="D428" s="24">
        <v>2609211113002</v>
      </c>
      <c r="E428" s="22" t="s">
        <v>943</v>
      </c>
      <c r="F428" s="9" t="s">
        <v>944</v>
      </c>
      <c r="G428" s="9">
        <v>42</v>
      </c>
      <c r="H428" s="43">
        <v>42</v>
      </c>
      <c r="I428" s="26" t="s">
        <v>169</v>
      </c>
      <c r="J428" s="27" t="s">
        <v>23</v>
      </c>
      <c r="K428" s="26" t="s">
        <v>30</v>
      </c>
      <c r="L428" s="9" t="s">
        <v>74</v>
      </c>
      <c r="M428" s="9" t="s">
        <v>173</v>
      </c>
      <c r="N428" s="9">
        <v>58.64</v>
      </c>
      <c r="O428" s="9">
        <v>15.66</v>
      </c>
      <c r="P428" s="52">
        <f t="shared" si="71"/>
        <v>42.980000000000004</v>
      </c>
      <c r="Q428" s="11">
        <v>470</v>
      </c>
      <c r="R428" s="12">
        <f t="shared" si="62"/>
        <v>20200.600000000002</v>
      </c>
      <c r="S428" s="11"/>
      <c r="T428" s="13"/>
      <c r="V428" s="19" t="s">
        <v>24</v>
      </c>
      <c r="W428" s="11">
        <v>145</v>
      </c>
      <c r="X428" s="14">
        <f t="shared" si="67"/>
        <v>6232.1</v>
      </c>
      <c r="Y428" s="15">
        <v>260</v>
      </c>
      <c r="Z428" s="15">
        <f t="shared" si="68"/>
        <v>11174.800000000001</v>
      </c>
      <c r="AA428" s="13">
        <f t="shared" si="69"/>
        <v>37607.500000000007</v>
      </c>
    </row>
    <row r="429" spans="1:28" s="16" customFormat="1" x14ac:dyDescent="0.3">
      <c r="A429" s="18">
        <v>428</v>
      </c>
      <c r="B429" s="8">
        <v>46285</v>
      </c>
      <c r="C429" s="8">
        <v>46286</v>
      </c>
      <c r="D429" s="24">
        <v>2609211113003</v>
      </c>
      <c r="E429" s="22" t="s">
        <v>945</v>
      </c>
      <c r="F429" s="9" t="s">
        <v>946</v>
      </c>
      <c r="G429" s="9">
        <v>33</v>
      </c>
      <c r="H429" s="43">
        <v>42</v>
      </c>
      <c r="I429" s="26" t="s">
        <v>169</v>
      </c>
      <c r="J429" s="27" t="s">
        <v>23</v>
      </c>
      <c r="K429" s="26" t="s">
        <v>30</v>
      </c>
      <c r="L429" s="9" t="s">
        <v>111</v>
      </c>
      <c r="M429" s="9" t="s">
        <v>173</v>
      </c>
      <c r="N429" s="9">
        <v>45.12</v>
      </c>
      <c r="O429" s="9">
        <v>11.72</v>
      </c>
      <c r="P429" s="52">
        <f t="shared" si="71"/>
        <v>33.4</v>
      </c>
      <c r="Q429" s="11">
        <v>470</v>
      </c>
      <c r="R429" s="12">
        <f t="shared" si="62"/>
        <v>15698</v>
      </c>
      <c r="S429" s="11"/>
      <c r="T429" s="13"/>
      <c r="V429" s="19" t="s">
        <v>24</v>
      </c>
      <c r="W429" s="11">
        <v>145</v>
      </c>
      <c r="X429" s="14">
        <f t="shared" si="67"/>
        <v>4843</v>
      </c>
      <c r="Y429" s="15">
        <v>260</v>
      </c>
      <c r="Z429" s="15">
        <f t="shared" si="68"/>
        <v>8684</v>
      </c>
      <c r="AA429" s="13">
        <f t="shared" si="69"/>
        <v>29225</v>
      </c>
    </row>
    <row r="430" spans="1:28" s="16" customFormat="1" x14ac:dyDescent="0.3">
      <c r="A430" s="18">
        <v>429</v>
      </c>
      <c r="B430" s="8">
        <v>46285</v>
      </c>
      <c r="C430" s="8">
        <v>46286</v>
      </c>
      <c r="D430" s="24">
        <v>2609211113004</v>
      </c>
      <c r="E430" s="22" t="s">
        <v>947</v>
      </c>
      <c r="F430" s="9" t="s">
        <v>948</v>
      </c>
      <c r="G430" s="9">
        <v>33</v>
      </c>
      <c r="H430" s="43">
        <v>42</v>
      </c>
      <c r="I430" s="26" t="s">
        <v>169</v>
      </c>
      <c r="J430" s="27" t="s">
        <v>23</v>
      </c>
      <c r="K430" s="26" t="s">
        <v>30</v>
      </c>
      <c r="L430" s="48" t="s">
        <v>162</v>
      </c>
      <c r="M430" s="9" t="s">
        <v>173</v>
      </c>
      <c r="N430" s="9">
        <v>45.06</v>
      </c>
      <c r="O430" s="9">
        <v>11.7</v>
      </c>
      <c r="P430" s="52">
        <f t="shared" si="71"/>
        <v>33.36</v>
      </c>
      <c r="Q430" s="11">
        <v>470</v>
      </c>
      <c r="R430" s="12">
        <f t="shared" si="62"/>
        <v>15679.199999999999</v>
      </c>
      <c r="S430" s="11"/>
      <c r="T430" s="13"/>
      <c r="V430" s="19" t="s">
        <v>24</v>
      </c>
      <c r="W430" s="11">
        <v>145</v>
      </c>
      <c r="X430" s="14">
        <f t="shared" si="67"/>
        <v>4837.2</v>
      </c>
      <c r="Y430" s="15">
        <v>260</v>
      </c>
      <c r="Z430" s="15">
        <f t="shared" si="68"/>
        <v>8673.6</v>
      </c>
      <c r="AA430" s="13">
        <f t="shared" si="69"/>
        <v>29190</v>
      </c>
    </row>
    <row r="431" spans="1:28" s="16" customFormat="1" x14ac:dyDescent="0.3">
      <c r="A431" s="18">
        <v>430</v>
      </c>
      <c r="B431" s="8">
        <v>46285</v>
      </c>
      <c r="C431" s="8">
        <v>46286</v>
      </c>
      <c r="D431" s="24">
        <v>2609211113005</v>
      </c>
      <c r="E431" s="22" t="s">
        <v>949</v>
      </c>
      <c r="F431" s="9" t="s">
        <v>950</v>
      </c>
      <c r="G431" s="9">
        <v>33</v>
      </c>
      <c r="H431" s="43">
        <v>42</v>
      </c>
      <c r="I431" s="26" t="s">
        <v>169</v>
      </c>
      <c r="J431" s="27" t="s">
        <v>23</v>
      </c>
      <c r="K431" s="26" t="s">
        <v>30</v>
      </c>
      <c r="L431" s="48" t="s">
        <v>386</v>
      </c>
      <c r="M431" s="9" t="s">
        <v>31</v>
      </c>
      <c r="N431" s="9">
        <v>45.26</v>
      </c>
      <c r="O431" s="9">
        <v>11.98</v>
      </c>
      <c r="P431" s="52">
        <f t="shared" si="71"/>
        <v>33.28</v>
      </c>
      <c r="Q431" s="11">
        <v>525</v>
      </c>
      <c r="R431" s="12">
        <f t="shared" si="62"/>
        <v>17472</v>
      </c>
      <c r="S431" s="11"/>
      <c r="T431" s="13"/>
      <c r="V431" s="19" t="s">
        <v>24</v>
      </c>
      <c r="W431" s="11">
        <v>145</v>
      </c>
      <c r="X431" s="14">
        <f t="shared" si="67"/>
        <v>4825.6000000000004</v>
      </c>
      <c r="Y431" s="15">
        <v>260</v>
      </c>
      <c r="Z431" s="15">
        <f t="shared" si="68"/>
        <v>8652.8000000000011</v>
      </c>
      <c r="AA431" s="13">
        <f t="shared" si="69"/>
        <v>30950.400000000001</v>
      </c>
    </row>
    <row r="432" spans="1:28" s="16" customFormat="1" x14ac:dyDescent="0.3">
      <c r="A432" s="18">
        <v>431</v>
      </c>
      <c r="B432" s="8">
        <v>46285</v>
      </c>
      <c r="C432" s="8">
        <v>46286</v>
      </c>
      <c r="D432" s="24">
        <v>2609211113006</v>
      </c>
      <c r="E432" s="22" t="s">
        <v>951</v>
      </c>
      <c r="F432" s="9" t="s">
        <v>952</v>
      </c>
      <c r="G432" s="9">
        <v>41</v>
      </c>
      <c r="H432" s="43">
        <v>42</v>
      </c>
      <c r="I432" s="26" t="s">
        <v>169</v>
      </c>
      <c r="J432" s="27" t="s">
        <v>23</v>
      </c>
      <c r="K432" s="26" t="s">
        <v>30</v>
      </c>
      <c r="L432" s="48" t="s">
        <v>132</v>
      </c>
      <c r="M432" s="9" t="s">
        <v>108</v>
      </c>
      <c r="N432" s="9">
        <v>57.48</v>
      </c>
      <c r="O432" s="9">
        <v>15.7</v>
      </c>
      <c r="P432" s="52">
        <f t="shared" si="71"/>
        <v>41.78</v>
      </c>
      <c r="Q432" s="11">
        <v>340</v>
      </c>
      <c r="R432" s="12">
        <f t="shared" si="62"/>
        <v>14205.2</v>
      </c>
      <c r="S432" s="11"/>
      <c r="T432" s="13"/>
      <c r="V432" s="19" t="s">
        <v>24</v>
      </c>
      <c r="W432" s="11">
        <v>145</v>
      </c>
      <c r="X432" s="14">
        <f t="shared" si="67"/>
        <v>6058.1</v>
      </c>
      <c r="Y432" s="15">
        <v>260</v>
      </c>
      <c r="Z432" s="15">
        <f t="shared" si="68"/>
        <v>10862.800000000001</v>
      </c>
      <c r="AA432" s="13">
        <f t="shared" si="69"/>
        <v>31126.100000000006</v>
      </c>
    </row>
    <row r="433" spans="1:28" s="16" customFormat="1" x14ac:dyDescent="0.3">
      <c r="A433" s="18">
        <v>432</v>
      </c>
      <c r="B433" s="8">
        <v>46285</v>
      </c>
      <c r="C433" s="8">
        <v>46286</v>
      </c>
      <c r="D433" s="48" t="s">
        <v>953</v>
      </c>
      <c r="E433" s="22"/>
      <c r="F433" s="9"/>
      <c r="G433" s="9"/>
      <c r="H433" s="31"/>
      <c r="I433" s="62" t="s">
        <v>938</v>
      </c>
      <c r="J433" s="53" t="s">
        <v>23</v>
      </c>
      <c r="K433" s="31" t="s">
        <v>30</v>
      </c>
      <c r="L433" s="9" t="s">
        <v>939</v>
      </c>
      <c r="M433" s="9" t="s">
        <v>31</v>
      </c>
      <c r="N433" s="9">
        <v>18.3</v>
      </c>
      <c r="O433" s="9">
        <v>7.3</v>
      </c>
      <c r="P433" s="52">
        <f t="shared" si="71"/>
        <v>11</v>
      </c>
      <c r="Q433" s="11">
        <v>550</v>
      </c>
      <c r="R433" s="12">
        <f t="shared" si="62"/>
        <v>6050</v>
      </c>
      <c r="S433" s="11"/>
      <c r="T433" s="13"/>
      <c r="V433" s="19" t="s">
        <v>54</v>
      </c>
      <c r="W433" s="11"/>
      <c r="X433" s="14">
        <f t="shared" si="67"/>
        <v>0</v>
      </c>
      <c r="Y433" s="15"/>
      <c r="Z433" s="15">
        <f t="shared" si="68"/>
        <v>0</v>
      </c>
      <c r="AA433" s="13">
        <f t="shared" si="69"/>
        <v>6050</v>
      </c>
    </row>
    <row r="434" spans="1:28" s="16" customFormat="1" x14ac:dyDescent="0.3">
      <c r="A434" s="18">
        <v>433</v>
      </c>
      <c r="B434" s="8">
        <v>46285</v>
      </c>
      <c r="C434" s="8">
        <v>46286</v>
      </c>
      <c r="D434" s="24">
        <v>2609211113007</v>
      </c>
      <c r="E434" s="22" t="s">
        <v>954</v>
      </c>
      <c r="F434" s="9" t="s">
        <v>955</v>
      </c>
      <c r="G434" s="9">
        <v>34</v>
      </c>
      <c r="H434" s="37">
        <v>140</v>
      </c>
      <c r="I434" s="26" t="s">
        <v>187</v>
      </c>
      <c r="J434" s="6" t="s">
        <v>23</v>
      </c>
      <c r="K434" s="26" t="s">
        <v>30</v>
      </c>
      <c r="L434" s="48" t="s">
        <v>188</v>
      </c>
      <c r="M434" s="9" t="s">
        <v>31</v>
      </c>
      <c r="N434" s="9">
        <v>46.58</v>
      </c>
      <c r="O434" s="9">
        <v>11.86</v>
      </c>
      <c r="P434" s="52">
        <f t="shared" si="71"/>
        <v>34.72</v>
      </c>
      <c r="Q434" s="11">
        <v>575</v>
      </c>
      <c r="R434" s="12">
        <f t="shared" si="62"/>
        <v>19964</v>
      </c>
      <c r="S434" s="11"/>
      <c r="T434" s="13"/>
      <c r="V434" s="19" t="s">
        <v>24</v>
      </c>
      <c r="W434" s="11">
        <v>145</v>
      </c>
      <c r="X434" s="14">
        <f t="shared" si="67"/>
        <v>5034.3999999999996</v>
      </c>
      <c r="Y434" s="15">
        <v>180</v>
      </c>
      <c r="Z434" s="15">
        <f t="shared" si="68"/>
        <v>6249.5999999999995</v>
      </c>
      <c r="AA434" s="13">
        <f t="shared" si="69"/>
        <v>31248</v>
      </c>
    </row>
    <row r="435" spans="1:28" s="16" customFormat="1" x14ac:dyDescent="0.3">
      <c r="A435" s="18">
        <v>434</v>
      </c>
      <c r="B435" s="8">
        <v>46285</v>
      </c>
      <c r="C435" s="8">
        <v>46286</v>
      </c>
      <c r="D435" s="48" t="s">
        <v>956</v>
      </c>
      <c r="E435" s="22"/>
      <c r="F435" s="9"/>
      <c r="G435" s="9"/>
      <c r="H435" s="34">
        <v>404</v>
      </c>
      <c r="I435" s="64" t="s">
        <v>391</v>
      </c>
      <c r="J435" s="36" t="s">
        <v>23</v>
      </c>
      <c r="K435" s="26" t="s">
        <v>297</v>
      </c>
      <c r="L435" s="48" t="s">
        <v>392</v>
      </c>
      <c r="M435" s="9" t="s">
        <v>31</v>
      </c>
      <c r="N435" s="9">
        <v>8.8000000000000007</v>
      </c>
      <c r="O435" s="9">
        <v>3.66</v>
      </c>
      <c r="P435" s="52">
        <f t="shared" si="71"/>
        <v>5.1400000000000006</v>
      </c>
      <c r="Q435" s="11">
        <v>550</v>
      </c>
      <c r="R435" s="12">
        <f t="shared" si="62"/>
        <v>2827.0000000000005</v>
      </c>
      <c r="S435" s="11">
        <v>2827</v>
      </c>
      <c r="T435" s="13"/>
      <c r="V435" s="19" t="s">
        <v>24</v>
      </c>
      <c r="W435" s="11"/>
      <c r="X435" s="14">
        <f t="shared" si="67"/>
        <v>0</v>
      </c>
      <c r="Y435" s="15"/>
      <c r="Z435" s="15">
        <f t="shared" si="68"/>
        <v>0</v>
      </c>
      <c r="AA435" s="13">
        <f t="shared" si="69"/>
        <v>2827.0000000000005</v>
      </c>
    </row>
    <row r="436" spans="1:28" s="16" customFormat="1" x14ac:dyDescent="0.3">
      <c r="A436" s="18">
        <v>435</v>
      </c>
      <c r="B436" s="8">
        <v>46285</v>
      </c>
      <c r="C436" s="8">
        <v>46286</v>
      </c>
      <c r="D436" s="24">
        <v>2609211113008</v>
      </c>
      <c r="E436" s="22" t="s">
        <v>957</v>
      </c>
      <c r="F436" s="9" t="s">
        <v>958</v>
      </c>
      <c r="G436" s="9">
        <v>44</v>
      </c>
      <c r="H436" s="41">
        <v>115</v>
      </c>
      <c r="I436" s="26" t="s">
        <v>103</v>
      </c>
      <c r="J436" s="36" t="s">
        <v>23</v>
      </c>
      <c r="K436" s="42" t="s">
        <v>30</v>
      </c>
      <c r="L436" s="9" t="s">
        <v>193</v>
      </c>
      <c r="M436" s="9" t="s">
        <v>108</v>
      </c>
      <c r="N436" s="9">
        <v>61.74</v>
      </c>
      <c r="O436" s="9">
        <v>16.86</v>
      </c>
      <c r="P436" s="52">
        <f t="shared" si="71"/>
        <v>44.88</v>
      </c>
      <c r="Q436" s="11">
        <v>315</v>
      </c>
      <c r="R436" s="12">
        <f t="shared" si="62"/>
        <v>14137.2</v>
      </c>
      <c r="S436" s="11"/>
      <c r="T436" s="13"/>
      <c r="V436" s="19" t="s">
        <v>24</v>
      </c>
      <c r="W436" s="11">
        <v>145</v>
      </c>
      <c r="X436" s="14">
        <f t="shared" si="67"/>
        <v>6507.6</v>
      </c>
      <c r="Y436" s="15">
        <v>260</v>
      </c>
      <c r="Z436" s="15">
        <f t="shared" si="68"/>
        <v>11668.800000000001</v>
      </c>
      <c r="AA436" s="13">
        <f t="shared" si="69"/>
        <v>32313.600000000006</v>
      </c>
    </row>
    <row r="437" spans="1:28" s="16" customFormat="1" x14ac:dyDescent="0.3">
      <c r="A437" s="18">
        <v>436</v>
      </c>
      <c r="B437" s="8">
        <v>46285</v>
      </c>
      <c r="C437" s="8">
        <v>46286</v>
      </c>
      <c r="D437" s="24">
        <v>2609211113009</v>
      </c>
      <c r="E437" s="22" t="s">
        <v>959</v>
      </c>
      <c r="F437" s="9" t="s">
        <v>960</v>
      </c>
      <c r="G437" s="9">
        <v>42</v>
      </c>
      <c r="H437" s="41">
        <v>115</v>
      </c>
      <c r="I437" s="26" t="s">
        <v>103</v>
      </c>
      <c r="J437" s="36" t="s">
        <v>23</v>
      </c>
      <c r="K437" s="42" t="s">
        <v>30</v>
      </c>
      <c r="L437" s="48" t="s">
        <v>170</v>
      </c>
      <c r="M437" s="9" t="s">
        <v>31</v>
      </c>
      <c r="N437" s="9">
        <v>57.12</v>
      </c>
      <c r="O437" s="9">
        <v>15.04</v>
      </c>
      <c r="P437" s="52">
        <f t="shared" si="71"/>
        <v>42.08</v>
      </c>
      <c r="Q437" s="11">
        <v>545</v>
      </c>
      <c r="R437" s="12">
        <f t="shared" si="62"/>
        <v>22933.599999999999</v>
      </c>
      <c r="S437" s="11"/>
      <c r="T437" s="13"/>
      <c r="V437" s="19" t="s">
        <v>24</v>
      </c>
      <c r="W437" s="11">
        <v>145</v>
      </c>
      <c r="X437" s="14">
        <f t="shared" si="67"/>
        <v>6101.5999999999995</v>
      </c>
      <c r="Y437" s="15">
        <v>260</v>
      </c>
      <c r="Z437" s="15">
        <f t="shared" si="68"/>
        <v>10940.8</v>
      </c>
      <c r="AA437" s="13">
        <f t="shared" si="69"/>
        <v>39976</v>
      </c>
    </row>
    <row r="438" spans="1:28" s="16" customFormat="1" x14ac:dyDescent="0.3">
      <c r="A438" s="18">
        <v>437</v>
      </c>
      <c r="B438" s="8">
        <v>46285</v>
      </c>
      <c r="C438" s="8">
        <v>46286</v>
      </c>
      <c r="D438" s="24">
        <v>2609211113010</v>
      </c>
      <c r="E438" s="22" t="s">
        <v>961</v>
      </c>
      <c r="F438" s="9" t="s">
        <v>962</v>
      </c>
      <c r="G438" s="9">
        <v>46</v>
      </c>
      <c r="H438" s="43">
        <v>24</v>
      </c>
      <c r="I438" s="26" t="s">
        <v>308</v>
      </c>
      <c r="J438" s="27" t="s">
        <v>23</v>
      </c>
      <c r="K438" s="26" t="s">
        <v>30</v>
      </c>
      <c r="L438" s="48" t="s">
        <v>184</v>
      </c>
      <c r="M438" s="9" t="s">
        <v>108</v>
      </c>
      <c r="N438" s="9">
        <v>63.06</v>
      </c>
      <c r="O438" s="9">
        <v>16.62</v>
      </c>
      <c r="P438" s="52">
        <f t="shared" si="71"/>
        <v>46.44</v>
      </c>
      <c r="Q438" s="11">
        <v>335</v>
      </c>
      <c r="R438" s="12">
        <f t="shared" si="62"/>
        <v>15557.4</v>
      </c>
      <c r="S438" s="11"/>
      <c r="T438" s="13"/>
      <c r="V438" s="19" t="s">
        <v>24</v>
      </c>
      <c r="W438" s="11">
        <v>145</v>
      </c>
      <c r="X438" s="14">
        <f t="shared" si="67"/>
        <v>6733.7999999999993</v>
      </c>
      <c r="Y438" s="15">
        <v>260</v>
      </c>
      <c r="Z438" s="15">
        <f t="shared" si="68"/>
        <v>12074.4</v>
      </c>
      <c r="AA438" s="13">
        <f t="shared" si="69"/>
        <v>34365.599999999999</v>
      </c>
    </row>
    <row r="439" spans="1:28" s="16" customFormat="1" x14ac:dyDescent="0.3">
      <c r="A439" s="18">
        <v>438</v>
      </c>
      <c r="B439" s="8">
        <v>46285</v>
      </c>
      <c r="C439" s="8">
        <v>46286</v>
      </c>
      <c r="D439" s="24">
        <v>2609211113011</v>
      </c>
      <c r="E439" s="22" t="s">
        <v>963</v>
      </c>
      <c r="F439" s="9" t="s">
        <v>964</v>
      </c>
      <c r="G439" s="9">
        <v>42</v>
      </c>
      <c r="H439" s="37">
        <v>140</v>
      </c>
      <c r="I439" s="26" t="s">
        <v>187</v>
      </c>
      <c r="J439" s="6" t="s">
        <v>23</v>
      </c>
      <c r="K439" s="26" t="s">
        <v>30</v>
      </c>
      <c r="L439" s="9" t="s">
        <v>324</v>
      </c>
      <c r="M439" s="9" t="s">
        <v>31</v>
      </c>
      <c r="N439" s="9">
        <v>57.86</v>
      </c>
      <c r="O439" s="9">
        <v>15.24</v>
      </c>
      <c r="P439" s="52">
        <f t="shared" si="71"/>
        <v>42.62</v>
      </c>
      <c r="Q439" s="11">
        <v>575</v>
      </c>
      <c r="R439" s="12">
        <f t="shared" si="62"/>
        <v>24506.5</v>
      </c>
      <c r="S439" s="11"/>
      <c r="T439" s="13"/>
      <c r="V439" s="19" t="s">
        <v>24</v>
      </c>
      <c r="W439" s="11">
        <v>145</v>
      </c>
      <c r="X439" s="14">
        <f t="shared" si="67"/>
        <v>6179.9</v>
      </c>
      <c r="Y439" s="15">
        <v>180</v>
      </c>
      <c r="Z439" s="15">
        <f t="shared" si="68"/>
        <v>7671.5999999999995</v>
      </c>
      <c r="AA439" s="13">
        <f t="shared" si="69"/>
        <v>38358</v>
      </c>
    </row>
    <row r="440" spans="1:28" s="16" customFormat="1" x14ac:dyDescent="0.3">
      <c r="A440" s="18">
        <v>439</v>
      </c>
      <c r="B440" s="8">
        <v>46286</v>
      </c>
      <c r="C440" s="8">
        <v>46286</v>
      </c>
      <c r="D440" s="65">
        <v>2609211113012</v>
      </c>
      <c r="E440" s="22" t="s">
        <v>965</v>
      </c>
      <c r="F440" s="9" t="s">
        <v>966</v>
      </c>
      <c r="G440" s="9">
        <v>44</v>
      </c>
      <c r="H440" s="37">
        <v>140</v>
      </c>
      <c r="I440" s="26" t="s">
        <v>187</v>
      </c>
      <c r="J440" s="6" t="s">
        <v>23</v>
      </c>
      <c r="K440" s="26" t="s">
        <v>30</v>
      </c>
      <c r="L440" s="48" t="s">
        <v>395</v>
      </c>
      <c r="M440" s="9" t="s">
        <v>108</v>
      </c>
      <c r="N440" s="9">
        <v>61.02</v>
      </c>
      <c r="O440" s="9">
        <v>16.36</v>
      </c>
      <c r="P440" s="52">
        <f>N440-O440</f>
        <v>44.660000000000004</v>
      </c>
      <c r="Q440" s="11">
        <v>340</v>
      </c>
      <c r="R440" s="12">
        <f t="shared" si="62"/>
        <v>15184.400000000001</v>
      </c>
      <c r="S440" s="11"/>
      <c r="T440" s="13"/>
      <c r="V440" s="19" t="s">
        <v>24</v>
      </c>
      <c r="W440" s="11">
        <v>145</v>
      </c>
      <c r="X440" s="14">
        <f t="shared" ref="X440:X446" si="72">P440*W440</f>
        <v>6475.7000000000007</v>
      </c>
      <c r="Y440" s="15">
        <v>180</v>
      </c>
      <c r="Z440" s="15">
        <f t="shared" ref="Z440:Z446" si="73">P440*Y440</f>
        <v>8038.8000000000011</v>
      </c>
      <c r="AA440" s="13">
        <f t="shared" ref="AA440:AA446" si="74">R440+X440+Z440</f>
        <v>29698.9</v>
      </c>
      <c r="AB440" s="29"/>
    </row>
    <row r="441" spans="1:28" s="16" customFormat="1" x14ac:dyDescent="0.3">
      <c r="A441" s="18">
        <v>440</v>
      </c>
      <c r="B441" s="8">
        <v>46286</v>
      </c>
      <c r="C441" s="8">
        <v>46286</v>
      </c>
      <c r="D441" s="20" t="s">
        <v>967</v>
      </c>
      <c r="E441" s="22"/>
      <c r="F441" s="9"/>
      <c r="G441" s="9"/>
      <c r="H441" s="32"/>
      <c r="I441" s="31" t="s">
        <v>452</v>
      </c>
      <c r="J441" s="53" t="s">
        <v>23</v>
      </c>
      <c r="K441" s="31" t="s">
        <v>297</v>
      </c>
      <c r="L441" s="48" t="s">
        <v>539</v>
      </c>
      <c r="M441" s="9" t="s">
        <v>31</v>
      </c>
      <c r="N441" s="9">
        <v>19.239999999999998</v>
      </c>
      <c r="O441" s="9">
        <v>7.82</v>
      </c>
      <c r="P441" s="52">
        <f>N441-O441</f>
        <v>11.419999999999998</v>
      </c>
      <c r="Q441" s="11">
        <v>550</v>
      </c>
      <c r="R441" s="12">
        <f t="shared" si="62"/>
        <v>6280.9999999999991</v>
      </c>
      <c r="S441" s="11">
        <v>6281</v>
      </c>
      <c r="T441" s="13"/>
      <c r="V441" s="19" t="s">
        <v>24</v>
      </c>
      <c r="W441" s="11"/>
      <c r="X441" s="14">
        <f t="shared" si="72"/>
        <v>0</v>
      </c>
      <c r="Y441" s="15"/>
      <c r="Z441" s="15">
        <f t="shared" si="73"/>
        <v>0</v>
      </c>
      <c r="AA441" s="13">
        <f t="shared" si="74"/>
        <v>6280.9999999999991</v>
      </c>
    </row>
    <row r="442" spans="1:28" s="28" customFormat="1" x14ac:dyDescent="0.3">
      <c r="A442" s="18">
        <v>441</v>
      </c>
      <c r="B442" s="8">
        <v>46286</v>
      </c>
      <c r="C442" s="8">
        <v>46286</v>
      </c>
      <c r="D442" s="20" t="s">
        <v>968</v>
      </c>
      <c r="E442" s="22"/>
      <c r="F442" s="9"/>
      <c r="G442" s="9"/>
      <c r="H442" s="32"/>
      <c r="I442" s="31" t="s">
        <v>401</v>
      </c>
      <c r="J442" s="53" t="s">
        <v>23</v>
      </c>
      <c r="K442" s="31" t="s">
        <v>297</v>
      </c>
      <c r="L442" s="48" t="s">
        <v>894</v>
      </c>
      <c r="M442" s="9" t="s">
        <v>34</v>
      </c>
      <c r="N442" s="9">
        <v>7.74</v>
      </c>
      <c r="O442" s="9">
        <v>3.26</v>
      </c>
      <c r="P442" s="52">
        <f t="shared" ref="P442:P446" si="75">N442-O442</f>
        <v>4.4800000000000004</v>
      </c>
      <c r="Q442" s="11">
        <v>150</v>
      </c>
      <c r="R442" s="12">
        <f t="shared" si="62"/>
        <v>672.00000000000011</v>
      </c>
      <c r="S442" s="11">
        <v>672</v>
      </c>
      <c r="T442" s="13"/>
      <c r="V442" s="19" t="s">
        <v>24</v>
      </c>
      <c r="W442" s="11"/>
      <c r="X442" s="14">
        <f t="shared" si="72"/>
        <v>0</v>
      </c>
      <c r="Y442" s="15"/>
      <c r="Z442" s="15">
        <f t="shared" si="73"/>
        <v>0</v>
      </c>
      <c r="AA442" s="13">
        <f t="shared" si="74"/>
        <v>672.00000000000011</v>
      </c>
    </row>
    <row r="443" spans="1:28" s="16" customFormat="1" x14ac:dyDescent="0.3">
      <c r="A443" s="18">
        <v>442</v>
      </c>
      <c r="B443" s="8">
        <v>46286</v>
      </c>
      <c r="C443" s="8">
        <v>46286</v>
      </c>
      <c r="D443" s="20" t="s">
        <v>969</v>
      </c>
      <c r="E443" s="22"/>
      <c r="F443" s="9"/>
      <c r="G443" s="9"/>
      <c r="H443" s="31"/>
      <c r="I443" s="31" t="s">
        <v>970</v>
      </c>
      <c r="J443" s="53" t="s">
        <v>23</v>
      </c>
      <c r="K443" s="31" t="s">
        <v>297</v>
      </c>
      <c r="L443" s="48" t="s">
        <v>903</v>
      </c>
      <c r="M443" s="9" t="s">
        <v>34</v>
      </c>
      <c r="N443" s="9">
        <v>9.1</v>
      </c>
      <c r="O443" s="9">
        <v>3.36</v>
      </c>
      <c r="P443" s="52">
        <f t="shared" si="75"/>
        <v>5.74</v>
      </c>
      <c r="Q443" s="11">
        <v>150</v>
      </c>
      <c r="R443" s="12">
        <f t="shared" si="62"/>
        <v>861</v>
      </c>
      <c r="S443" s="11">
        <v>861</v>
      </c>
      <c r="T443" s="13"/>
      <c r="V443" s="19" t="s">
        <v>24</v>
      </c>
      <c r="W443" s="11"/>
      <c r="X443" s="14">
        <f t="shared" si="72"/>
        <v>0</v>
      </c>
      <c r="Y443" s="15"/>
      <c r="Z443" s="15">
        <f t="shared" si="73"/>
        <v>0</v>
      </c>
      <c r="AA443" s="13">
        <f t="shared" si="74"/>
        <v>861</v>
      </c>
    </row>
    <row r="444" spans="1:28" s="16" customFormat="1" x14ac:dyDescent="0.3">
      <c r="A444" s="18">
        <v>443</v>
      </c>
      <c r="B444" s="8">
        <v>46286</v>
      </c>
      <c r="C444" s="8">
        <v>46286</v>
      </c>
      <c r="D444" s="20" t="s">
        <v>971</v>
      </c>
      <c r="E444" s="22"/>
      <c r="F444" s="9"/>
      <c r="G444" s="9"/>
      <c r="H444" s="46"/>
      <c r="I444" s="22" t="s">
        <v>972</v>
      </c>
      <c r="J444" s="53" t="s">
        <v>23</v>
      </c>
      <c r="K444" s="31" t="s">
        <v>30</v>
      </c>
      <c r="L444" s="9" t="s">
        <v>973</v>
      </c>
      <c r="M444" s="9" t="s">
        <v>173</v>
      </c>
      <c r="N444" s="9">
        <v>8.92</v>
      </c>
      <c r="O444" s="9">
        <v>3.62</v>
      </c>
      <c r="P444" s="52">
        <f t="shared" si="75"/>
        <v>5.3</v>
      </c>
      <c r="Q444" s="11">
        <v>0</v>
      </c>
      <c r="R444" s="12">
        <f t="shared" si="62"/>
        <v>0</v>
      </c>
      <c r="S444" s="11"/>
      <c r="T444" s="13"/>
      <c r="V444" s="19" t="s">
        <v>54</v>
      </c>
      <c r="W444" s="11"/>
      <c r="X444" s="14">
        <f t="shared" si="72"/>
        <v>0</v>
      </c>
      <c r="Y444" s="15"/>
      <c r="Z444" s="15">
        <f t="shared" si="73"/>
        <v>0</v>
      </c>
      <c r="AA444" s="13">
        <f t="shared" si="74"/>
        <v>0</v>
      </c>
    </row>
    <row r="445" spans="1:28" s="28" customFormat="1" x14ac:dyDescent="0.3">
      <c r="A445" s="18">
        <v>444</v>
      </c>
      <c r="B445" s="8">
        <v>46286</v>
      </c>
      <c r="C445" s="8">
        <v>46286</v>
      </c>
      <c r="D445" s="65">
        <v>2609211113013</v>
      </c>
      <c r="E445" s="22" t="s">
        <v>974</v>
      </c>
      <c r="F445" s="9" t="s">
        <v>975</v>
      </c>
      <c r="G445" s="9">
        <v>27</v>
      </c>
      <c r="H445" s="37">
        <v>121</v>
      </c>
      <c r="I445" s="26" t="s">
        <v>976</v>
      </c>
      <c r="J445" s="36" t="s">
        <v>23</v>
      </c>
      <c r="K445" s="26" t="s">
        <v>30</v>
      </c>
      <c r="L445" s="48" t="s">
        <v>61</v>
      </c>
      <c r="M445" s="9" t="s">
        <v>233</v>
      </c>
      <c r="N445" s="9">
        <v>39.4</v>
      </c>
      <c r="O445" s="9">
        <v>12.2</v>
      </c>
      <c r="P445" s="52">
        <f t="shared" si="75"/>
        <v>27.2</v>
      </c>
      <c r="Q445" s="11">
        <v>0</v>
      </c>
      <c r="R445" s="12">
        <f t="shared" si="62"/>
        <v>0</v>
      </c>
      <c r="S445" s="11"/>
      <c r="T445" s="13"/>
      <c r="V445" s="19" t="s">
        <v>24</v>
      </c>
      <c r="W445" s="11"/>
      <c r="X445" s="14">
        <f t="shared" si="72"/>
        <v>0</v>
      </c>
      <c r="Y445" s="15">
        <v>220</v>
      </c>
      <c r="Z445" s="15">
        <f t="shared" si="73"/>
        <v>5984</v>
      </c>
      <c r="AA445" s="13">
        <f t="shared" si="74"/>
        <v>5984</v>
      </c>
    </row>
    <row r="446" spans="1:28" s="16" customFormat="1" x14ac:dyDescent="0.3">
      <c r="A446" s="18">
        <v>445</v>
      </c>
      <c r="B446" s="8">
        <v>46286</v>
      </c>
      <c r="C446" s="8">
        <v>46287</v>
      </c>
      <c r="D446" s="40" t="s">
        <v>977</v>
      </c>
      <c r="E446" s="22"/>
      <c r="F446" s="9"/>
      <c r="G446" s="9"/>
      <c r="H446" s="31"/>
      <c r="I446" s="31" t="s">
        <v>452</v>
      </c>
      <c r="J446" s="53" t="s">
        <v>23</v>
      </c>
      <c r="K446" s="31" t="s">
        <v>297</v>
      </c>
      <c r="L446" s="48" t="s">
        <v>978</v>
      </c>
      <c r="M446" s="9" t="s">
        <v>31</v>
      </c>
      <c r="N446" s="9">
        <v>19.84</v>
      </c>
      <c r="O446" s="9">
        <v>7.66</v>
      </c>
      <c r="P446" s="52">
        <f t="shared" si="75"/>
        <v>12.18</v>
      </c>
      <c r="Q446" s="11">
        <v>550</v>
      </c>
      <c r="R446" s="12">
        <f t="shared" si="62"/>
        <v>6699</v>
      </c>
      <c r="S446" s="11">
        <v>6699</v>
      </c>
      <c r="T446" s="13"/>
      <c r="V446" s="19" t="s">
        <v>24</v>
      </c>
      <c r="W446" s="11"/>
      <c r="X446" s="14">
        <f t="shared" si="72"/>
        <v>0</v>
      </c>
      <c r="Y446" s="15"/>
      <c r="Z446" s="15">
        <f t="shared" si="73"/>
        <v>0</v>
      </c>
      <c r="AA446" s="13">
        <f t="shared" si="74"/>
        <v>6699</v>
      </c>
    </row>
    <row r="447" spans="1:28" s="16" customFormat="1" x14ac:dyDescent="0.3">
      <c r="A447" s="18">
        <v>446</v>
      </c>
      <c r="B447" s="8">
        <v>46290</v>
      </c>
      <c r="C447" s="8">
        <v>46290</v>
      </c>
      <c r="D447" s="20" t="s">
        <v>979</v>
      </c>
      <c r="E447" s="22"/>
      <c r="F447" s="9"/>
      <c r="G447" s="9"/>
      <c r="H447" s="32"/>
      <c r="I447" s="31" t="s">
        <v>333</v>
      </c>
      <c r="J447" s="53" t="s">
        <v>23</v>
      </c>
      <c r="K447" s="31" t="s">
        <v>30</v>
      </c>
      <c r="L447" s="48" t="s">
        <v>43</v>
      </c>
      <c r="M447" s="9" t="s">
        <v>34</v>
      </c>
      <c r="N447" s="9">
        <v>32.08</v>
      </c>
      <c r="O447" s="9">
        <v>15</v>
      </c>
      <c r="P447" s="52">
        <f>N447-O447</f>
        <v>17.079999999999998</v>
      </c>
      <c r="Q447" s="11">
        <v>0</v>
      </c>
      <c r="R447" s="12">
        <f t="shared" si="62"/>
        <v>0</v>
      </c>
      <c r="S447" s="11"/>
      <c r="T447" s="13"/>
      <c r="V447" s="19" t="s">
        <v>24</v>
      </c>
      <c r="W447" s="11"/>
      <c r="X447" s="14">
        <f t="shared" ref="X447:X452" si="76">P447*W447</f>
        <v>0</v>
      </c>
      <c r="Y447" s="15"/>
      <c r="Z447" s="15">
        <f t="shared" ref="Z447:Z452" si="77">P447*Y447</f>
        <v>0</v>
      </c>
      <c r="AA447" s="13">
        <f t="shared" ref="AA447:AA452" si="78">R447+X447+Z447</f>
        <v>0</v>
      </c>
    </row>
    <row r="448" spans="1:28" s="28" customFormat="1" x14ac:dyDescent="0.3">
      <c r="A448" s="18">
        <v>447</v>
      </c>
      <c r="B448" s="8">
        <v>46290</v>
      </c>
      <c r="C448" s="8">
        <v>46290</v>
      </c>
      <c r="D448" s="20" t="s">
        <v>980</v>
      </c>
      <c r="E448" s="22"/>
      <c r="F448" s="9"/>
      <c r="G448" s="9"/>
      <c r="H448" s="32"/>
      <c r="I448" s="31" t="s">
        <v>333</v>
      </c>
      <c r="J448" s="53" t="s">
        <v>23</v>
      </c>
      <c r="K448" s="31" t="s">
        <v>30</v>
      </c>
      <c r="L448" s="48" t="s">
        <v>41</v>
      </c>
      <c r="M448" s="9" t="s">
        <v>34</v>
      </c>
      <c r="N448" s="9">
        <v>29.34</v>
      </c>
      <c r="O448" s="9">
        <v>14.56</v>
      </c>
      <c r="P448" s="52">
        <f t="shared" ref="P448:P452" si="79">N448-O448</f>
        <v>14.78</v>
      </c>
      <c r="Q448" s="11">
        <v>0</v>
      </c>
      <c r="R448" s="12">
        <f t="shared" si="62"/>
        <v>0</v>
      </c>
      <c r="S448" s="11"/>
      <c r="T448" s="13"/>
      <c r="V448" s="19" t="s">
        <v>24</v>
      </c>
      <c r="W448" s="11"/>
      <c r="X448" s="14">
        <f t="shared" si="76"/>
        <v>0</v>
      </c>
      <c r="Y448" s="15"/>
      <c r="Z448" s="15">
        <f t="shared" si="77"/>
        <v>0</v>
      </c>
      <c r="AA448" s="13">
        <f t="shared" si="78"/>
        <v>0</v>
      </c>
    </row>
    <row r="449" spans="1:27" s="16" customFormat="1" x14ac:dyDescent="0.3">
      <c r="A449" s="18">
        <v>448</v>
      </c>
      <c r="B449" s="8">
        <v>46290</v>
      </c>
      <c r="C449" s="8">
        <v>46291</v>
      </c>
      <c r="D449" s="20" t="s">
        <v>981</v>
      </c>
      <c r="E449" s="22"/>
      <c r="F449" s="9" t="s">
        <v>982</v>
      </c>
      <c r="G449" s="9">
        <v>47</v>
      </c>
      <c r="H449" s="34">
        <v>285</v>
      </c>
      <c r="I449" s="35" t="s">
        <v>52</v>
      </c>
      <c r="J449" s="36" t="s">
        <v>23</v>
      </c>
      <c r="K449" s="26" t="s">
        <v>30</v>
      </c>
      <c r="L449" s="48" t="s">
        <v>56</v>
      </c>
      <c r="M449" s="9" t="s">
        <v>163</v>
      </c>
      <c r="N449" s="9">
        <v>61.58</v>
      </c>
      <c r="O449" s="9">
        <v>14.44</v>
      </c>
      <c r="P449" s="52">
        <f t="shared" si="79"/>
        <v>47.14</v>
      </c>
      <c r="Q449" s="11">
        <v>200</v>
      </c>
      <c r="R449" s="12">
        <f t="shared" si="62"/>
        <v>9428</v>
      </c>
      <c r="S449" s="11"/>
      <c r="T449" s="13"/>
      <c r="V449" s="19" t="s">
        <v>54</v>
      </c>
      <c r="W449" s="11"/>
      <c r="X449" s="14">
        <f t="shared" si="76"/>
        <v>0</v>
      </c>
      <c r="Y449" s="15"/>
      <c r="Z449" s="15">
        <f t="shared" si="77"/>
        <v>0</v>
      </c>
      <c r="AA449" s="13">
        <f t="shared" si="78"/>
        <v>9428</v>
      </c>
    </row>
    <row r="450" spans="1:27" s="16" customFormat="1" x14ac:dyDescent="0.3">
      <c r="A450" s="18">
        <v>449</v>
      </c>
      <c r="B450" s="8">
        <v>46290</v>
      </c>
      <c r="C450" s="8">
        <v>46291</v>
      </c>
      <c r="D450" s="66">
        <v>2609261113001</v>
      </c>
      <c r="E450" s="22" t="s">
        <v>983</v>
      </c>
      <c r="F450" s="9" t="s">
        <v>984</v>
      </c>
      <c r="G450" s="9">
        <v>33</v>
      </c>
      <c r="H450" s="43">
        <v>24</v>
      </c>
      <c r="I450" s="26" t="s">
        <v>308</v>
      </c>
      <c r="J450" s="27" t="s">
        <v>23</v>
      </c>
      <c r="K450" s="26" t="s">
        <v>30</v>
      </c>
      <c r="L450" s="9" t="s">
        <v>386</v>
      </c>
      <c r="M450" s="9" t="s">
        <v>108</v>
      </c>
      <c r="N450" s="9">
        <v>45.94</v>
      </c>
      <c r="O450" s="9">
        <v>11.96</v>
      </c>
      <c r="P450" s="52">
        <f t="shared" si="79"/>
        <v>33.979999999999997</v>
      </c>
      <c r="Q450" s="11">
        <v>335</v>
      </c>
      <c r="R450" s="12">
        <f t="shared" ref="R450:R513" si="80">P450*Q450</f>
        <v>11383.3</v>
      </c>
      <c r="S450" s="11"/>
      <c r="T450" s="13"/>
      <c r="V450" s="19" t="s">
        <v>24</v>
      </c>
      <c r="W450" s="11">
        <v>145</v>
      </c>
      <c r="X450" s="14">
        <f t="shared" si="76"/>
        <v>4927.0999999999995</v>
      </c>
      <c r="Y450" s="15">
        <v>260</v>
      </c>
      <c r="Z450" s="15">
        <f t="shared" si="77"/>
        <v>8834.7999999999993</v>
      </c>
      <c r="AA450" s="13">
        <f t="shared" si="78"/>
        <v>25145.199999999997</v>
      </c>
    </row>
    <row r="451" spans="1:27" s="28" customFormat="1" x14ac:dyDescent="0.3">
      <c r="A451" s="18">
        <v>450</v>
      </c>
      <c r="B451" s="8">
        <v>46290</v>
      </c>
      <c r="C451" s="8">
        <v>46291</v>
      </c>
      <c r="D451" s="66">
        <v>2609261113002</v>
      </c>
      <c r="E451" s="22" t="s">
        <v>985</v>
      </c>
      <c r="F451" s="9" t="s">
        <v>986</v>
      </c>
      <c r="G451" s="9">
        <v>42</v>
      </c>
      <c r="H451" s="43">
        <v>24</v>
      </c>
      <c r="I451" s="26" t="s">
        <v>308</v>
      </c>
      <c r="J451" s="27" t="s">
        <v>23</v>
      </c>
      <c r="K451" s="26" t="s">
        <v>30</v>
      </c>
      <c r="L451" s="48" t="s">
        <v>132</v>
      </c>
      <c r="M451" s="9" t="s">
        <v>108</v>
      </c>
      <c r="N451" s="9">
        <v>57.94</v>
      </c>
      <c r="O451" s="9">
        <v>15.7</v>
      </c>
      <c r="P451" s="52">
        <f t="shared" si="79"/>
        <v>42.239999999999995</v>
      </c>
      <c r="Q451" s="11">
        <v>335</v>
      </c>
      <c r="R451" s="12">
        <f t="shared" si="80"/>
        <v>14150.399999999998</v>
      </c>
      <c r="S451" s="11"/>
      <c r="T451" s="13"/>
      <c r="V451" s="19" t="s">
        <v>24</v>
      </c>
      <c r="W451" s="11">
        <v>145</v>
      </c>
      <c r="X451" s="14">
        <f t="shared" si="76"/>
        <v>6124.7999999999993</v>
      </c>
      <c r="Y451" s="15">
        <v>260</v>
      </c>
      <c r="Z451" s="15">
        <f t="shared" si="77"/>
        <v>10982.399999999998</v>
      </c>
      <c r="AA451" s="13">
        <f t="shared" si="78"/>
        <v>31257.599999999995</v>
      </c>
    </row>
    <row r="452" spans="1:27" s="16" customFormat="1" x14ac:dyDescent="0.3">
      <c r="A452" s="18">
        <v>451</v>
      </c>
      <c r="B452" s="8">
        <v>46290</v>
      </c>
      <c r="C452" s="8">
        <v>46291</v>
      </c>
      <c r="D452" s="66">
        <v>2609261113003</v>
      </c>
      <c r="E452" s="22" t="s">
        <v>987</v>
      </c>
      <c r="F452" s="9" t="s">
        <v>988</v>
      </c>
      <c r="G452" s="9">
        <v>32</v>
      </c>
      <c r="H452" s="43">
        <v>24</v>
      </c>
      <c r="I452" s="26" t="s">
        <v>308</v>
      </c>
      <c r="J452" s="27" t="s">
        <v>23</v>
      </c>
      <c r="K452" s="26" t="s">
        <v>30</v>
      </c>
      <c r="L452" s="9" t="s">
        <v>188</v>
      </c>
      <c r="M452" s="9" t="s">
        <v>108</v>
      </c>
      <c r="N452" s="9">
        <v>44.38</v>
      </c>
      <c r="O452" s="9">
        <v>11.78</v>
      </c>
      <c r="P452" s="52">
        <f t="shared" si="79"/>
        <v>32.6</v>
      </c>
      <c r="Q452" s="11">
        <v>335</v>
      </c>
      <c r="R452" s="12">
        <f t="shared" si="80"/>
        <v>10921</v>
      </c>
      <c r="S452" s="11"/>
      <c r="T452" s="13"/>
      <c r="V452" s="19" t="s">
        <v>24</v>
      </c>
      <c r="W452" s="11">
        <v>145</v>
      </c>
      <c r="X452" s="14">
        <f t="shared" si="76"/>
        <v>4727</v>
      </c>
      <c r="Y452" s="15">
        <v>260</v>
      </c>
      <c r="Z452" s="15">
        <f t="shared" si="77"/>
        <v>8476</v>
      </c>
      <c r="AA452" s="13">
        <f t="shared" si="78"/>
        <v>24124</v>
      </c>
    </row>
    <row r="453" spans="1:27" s="16" customFormat="1" x14ac:dyDescent="0.3">
      <c r="A453" s="18">
        <v>452</v>
      </c>
      <c r="B453" s="8">
        <v>46291</v>
      </c>
      <c r="C453" s="8">
        <v>46291</v>
      </c>
      <c r="D453" s="20" t="s">
        <v>989</v>
      </c>
      <c r="E453" s="22"/>
      <c r="F453" s="9"/>
      <c r="G453" s="9"/>
      <c r="H453" s="32"/>
      <c r="I453" s="31" t="s">
        <v>990</v>
      </c>
      <c r="J453" s="53" t="s">
        <v>23</v>
      </c>
      <c r="K453" s="31" t="s">
        <v>30</v>
      </c>
      <c r="L453" s="48" t="s">
        <v>991</v>
      </c>
      <c r="M453" s="9" t="s">
        <v>34</v>
      </c>
      <c r="N453" s="9">
        <v>50.3</v>
      </c>
      <c r="O453" s="9">
        <v>16.96</v>
      </c>
      <c r="P453" s="52">
        <f>N453-O453</f>
        <v>33.339999999999996</v>
      </c>
      <c r="Q453" s="11">
        <v>120</v>
      </c>
      <c r="R453" s="12">
        <f t="shared" si="80"/>
        <v>4000.7999999999997</v>
      </c>
      <c r="S453" s="11"/>
      <c r="T453" s="13"/>
      <c r="V453" s="19" t="s">
        <v>555</v>
      </c>
      <c r="W453" s="11"/>
      <c r="X453" s="14">
        <f t="shared" ref="X453:X468" si="81">P453*W453</f>
        <v>0</v>
      </c>
      <c r="Y453" s="15"/>
      <c r="Z453" s="15">
        <f t="shared" ref="Z453:Z468" si="82">P453*Y453</f>
        <v>0</v>
      </c>
      <c r="AA453" s="13">
        <f t="shared" ref="AA453:AA468" si="83">R453+X453+Z453</f>
        <v>4000.7999999999997</v>
      </c>
    </row>
    <row r="454" spans="1:27" s="28" customFormat="1" x14ac:dyDescent="0.3">
      <c r="A454" s="18">
        <v>453</v>
      </c>
      <c r="B454" s="8">
        <v>46291</v>
      </c>
      <c r="C454" s="8">
        <v>46291</v>
      </c>
      <c r="D454" s="51" t="s">
        <v>992</v>
      </c>
      <c r="E454" s="22"/>
      <c r="F454" s="9"/>
      <c r="G454" s="9"/>
      <c r="H454" s="34">
        <v>285</v>
      </c>
      <c r="I454" s="35" t="s">
        <v>52</v>
      </c>
      <c r="J454" s="36" t="s">
        <v>23</v>
      </c>
      <c r="K454" s="26" t="s">
        <v>30</v>
      </c>
      <c r="L454" s="48" t="s">
        <v>242</v>
      </c>
      <c r="M454" s="9" t="s">
        <v>163</v>
      </c>
      <c r="N454" s="9">
        <v>49.34</v>
      </c>
      <c r="O454" s="9">
        <v>12.18</v>
      </c>
      <c r="P454" s="52">
        <f t="shared" ref="P454:P455" si="84">N454-O454</f>
        <v>37.160000000000004</v>
      </c>
      <c r="Q454" s="11">
        <v>200</v>
      </c>
      <c r="R454" s="12">
        <f t="shared" si="80"/>
        <v>7432.0000000000009</v>
      </c>
      <c r="S454" s="11"/>
      <c r="T454" s="13"/>
      <c r="V454" s="19" t="s">
        <v>993</v>
      </c>
      <c r="W454" s="11"/>
      <c r="X454" s="14">
        <f t="shared" si="81"/>
        <v>0</v>
      </c>
      <c r="Y454" s="15"/>
      <c r="Z454" s="15">
        <f t="shared" si="82"/>
        <v>0</v>
      </c>
      <c r="AA454" s="13">
        <f t="shared" si="83"/>
        <v>7432.0000000000009</v>
      </c>
    </row>
    <row r="455" spans="1:27" s="16" customFormat="1" x14ac:dyDescent="0.3">
      <c r="A455" s="18">
        <v>454</v>
      </c>
      <c r="B455" s="8">
        <v>46291</v>
      </c>
      <c r="C455" s="8">
        <v>46292</v>
      </c>
      <c r="D455" s="20" t="s">
        <v>994</v>
      </c>
      <c r="E455" s="22" t="s">
        <v>995</v>
      </c>
      <c r="F455" s="9" t="s">
        <v>996</v>
      </c>
      <c r="G455" s="9">
        <v>33</v>
      </c>
      <c r="H455" s="41">
        <v>96</v>
      </c>
      <c r="I455" s="55" t="s">
        <v>727</v>
      </c>
      <c r="J455" s="56" t="s">
        <v>23</v>
      </c>
      <c r="K455" s="42" t="s">
        <v>30</v>
      </c>
      <c r="L455" s="48" t="s">
        <v>242</v>
      </c>
      <c r="M455" s="9" t="s">
        <v>31</v>
      </c>
      <c r="N455" s="9">
        <v>45.48</v>
      </c>
      <c r="O455" s="9">
        <v>12.16</v>
      </c>
      <c r="P455" s="52">
        <f t="shared" si="84"/>
        <v>33.319999999999993</v>
      </c>
      <c r="Q455" s="11">
        <v>520</v>
      </c>
      <c r="R455" s="12">
        <f t="shared" si="80"/>
        <v>17326.399999999998</v>
      </c>
      <c r="S455" s="11"/>
      <c r="T455" s="13"/>
      <c r="V455" s="19" t="s">
        <v>993</v>
      </c>
      <c r="W455" s="11">
        <v>150</v>
      </c>
      <c r="X455" s="14">
        <f t="shared" si="81"/>
        <v>4997.9999999999991</v>
      </c>
      <c r="Y455" s="15"/>
      <c r="Z455" s="15">
        <f t="shared" si="82"/>
        <v>0</v>
      </c>
      <c r="AA455" s="13">
        <f t="shared" si="83"/>
        <v>22324.399999999998</v>
      </c>
    </row>
    <row r="456" spans="1:27" s="16" customFormat="1" x14ac:dyDescent="0.3">
      <c r="A456" s="18">
        <v>455</v>
      </c>
      <c r="B456" s="8">
        <v>46292</v>
      </c>
      <c r="C456" s="8">
        <v>46292</v>
      </c>
      <c r="D456" s="20" t="s">
        <v>997</v>
      </c>
      <c r="E456" s="22"/>
      <c r="F456" s="9"/>
      <c r="G456" s="9"/>
      <c r="H456" s="41"/>
      <c r="I456" s="55" t="s">
        <v>333</v>
      </c>
      <c r="J456" s="56" t="s">
        <v>23</v>
      </c>
      <c r="K456" s="42" t="s">
        <v>30</v>
      </c>
      <c r="L456" s="48" t="s">
        <v>235</v>
      </c>
      <c r="M456" s="9" t="s">
        <v>233</v>
      </c>
      <c r="N456" s="9">
        <v>26.12</v>
      </c>
      <c r="O456" s="9">
        <v>14</v>
      </c>
      <c r="P456" s="52">
        <f>N456-O456</f>
        <v>12.120000000000001</v>
      </c>
      <c r="Q456" s="11">
        <v>0</v>
      </c>
      <c r="R456" s="12">
        <f t="shared" si="80"/>
        <v>0</v>
      </c>
      <c r="S456" s="11"/>
      <c r="T456" s="13"/>
      <c r="V456" s="16" t="s">
        <v>24</v>
      </c>
      <c r="W456" s="19"/>
      <c r="X456" s="11">
        <f t="shared" si="81"/>
        <v>0</v>
      </c>
      <c r="Y456" s="14"/>
      <c r="Z456" s="15">
        <f t="shared" si="82"/>
        <v>0</v>
      </c>
      <c r="AA456" s="15">
        <f t="shared" si="83"/>
        <v>0</v>
      </c>
    </row>
    <row r="457" spans="1:27" s="28" customFormat="1" x14ac:dyDescent="0.3">
      <c r="A457" s="18">
        <v>456</v>
      </c>
      <c r="B457" s="8">
        <v>46292</v>
      </c>
      <c r="C457" s="8">
        <v>46293</v>
      </c>
      <c r="D457" s="67">
        <v>2609281113001</v>
      </c>
      <c r="E457" s="22" t="s">
        <v>998</v>
      </c>
      <c r="F457" s="9" t="s">
        <v>999</v>
      </c>
      <c r="G457" s="9">
        <v>43</v>
      </c>
      <c r="H457" s="43">
        <v>42</v>
      </c>
      <c r="I457" s="26" t="s">
        <v>169</v>
      </c>
      <c r="J457" s="27" t="s">
        <v>23</v>
      </c>
      <c r="K457" s="26" t="s">
        <v>30</v>
      </c>
      <c r="L457" s="48" t="s">
        <v>70</v>
      </c>
      <c r="M457" s="9" t="s">
        <v>108</v>
      </c>
      <c r="N457" s="9">
        <v>59.7</v>
      </c>
      <c r="O457" s="9">
        <v>15.88</v>
      </c>
      <c r="P457" s="52">
        <f t="shared" ref="P457:P468" si="85">N457-O457</f>
        <v>43.82</v>
      </c>
      <c r="Q457" s="11">
        <v>340</v>
      </c>
      <c r="R457" s="12">
        <f t="shared" si="80"/>
        <v>14898.8</v>
      </c>
      <c r="S457" s="11"/>
      <c r="T457" s="13"/>
      <c r="V457" s="19" t="s">
        <v>24</v>
      </c>
      <c r="W457" s="11">
        <v>145</v>
      </c>
      <c r="X457" s="14">
        <f t="shared" si="81"/>
        <v>6353.9</v>
      </c>
      <c r="Y457" s="15">
        <v>260</v>
      </c>
      <c r="Z457" s="15">
        <f t="shared" si="82"/>
        <v>11393.2</v>
      </c>
      <c r="AA457" s="13">
        <f t="shared" si="83"/>
        <v>32645.899999999998</v>
      </c>
    </row>
    <row r="458" spans="1:27" s="16" customFormat="1" x14ac:dyDescent="0.3">
      <c r="A458" s="18">
        <v>457</v>
      </c>
      <c r="B458" s="8">
        <v>46292</v>
      </c>
      <c r="C458" s="8">
        <v>46293</v>
      </c>
      <c r="D458" s="67">
        <v>2609281113002</v>
      </c>
      <c r="E458" s="22" t="s">
        <v>1000</v>
      </c>
      <c r="F458" s="9" t="s">
        <v>1001</v>
      </c>
      <c r="G458" s="9">
        <v>41</v>
      </c>
      <c r="H458" s="43">
        <v>42</v>
      </c>
      <c r="I458" s="26" t="s">
        <v>169</v>
      </c>
      <c r="J458" s="27" t="s">
        <v>23</v>
      </c>
      <c r="K458" s="26" t="s">
        <v>30</v>
      </c>
      <c r="L458" s="48" t="s">
        <v>319</v>
      </c>
      <c r="M458" s="9" t="s">
        <v>108</v>
      </c>
      <c r="N458" s="9">
        <v>57.14</v>
      </c>
      <c r="O458" s="9">
        <v>16.04</v>
      </c>
      <c r="P458" s="52">
        <f t="shared" si="85"/>
        <v>41.1</v>
      </c>
      <c r="Q458" s="11">
        <v>340</v>
      </c>
      <c r="R458" s="12">
        <f t="shared" si="80"/>
        <v>13974</v>
      </c>
      <c r="S458" s="11"/>
      <c r="T458" s="13"/>
      <c r="V458" s="19" t="s">
        <v>24</v>
      </c>
      <c r="W458" s="11">
        <v>145</v>
      </c>
      <c r="X458" s="14">
        <f t="shared" si="81"/>
        <v>5959.5</v>
      </c>
      <c r="Y458" s="15">
        <v>260</v>
      </c>
      <c r="Z458" s="15">
        <f t="shared" si="82"/>
        <v>10686</v>
      </c>
      <c r="AA458" s="13">
        <f t="shared" si="83"/>
        <v>30619.5</v>
      </c>
    </row>
    <row r="459" spans="1:27" s="16" customFormat="1" x14ac:dyDescent="0.3">
      <c r="A459" s="18">
        <v>458</v>
      </c>
      <c r="B459" s="8">
        <v>46292</v>
      </c>
      <c r="C459" s="8">
        <v>46293</v>
      </c>
      <c r="D459" s="67">
        <v>2609281113003</v>
      </c>
      <c r="E459" s="22" t="s">
        <v>1002</v>
      </c>
      <c r="F459" s="9" t="s">
        <v>1003</v>
      </c>
      <c r="G459" s="9">
        <v>37</v>
      </c>
      <c r="H459" s="43">
        <v>42</v>
      </c>
      <c r="I459" s="26" t="s">
        <v>169</v>
      </c>
      <c r="J459" s="27" t="s">
        <v>23</v>
      </c>
      <c r="K459" s="26" t="s">
        <v>30</v>
      </c>
      <c r="L459" s="9" t="s">
        <v>386</v>
      </c>
      <c r="M459" s="9" t="s">
        <v>173</v>
      </c>
      <c r="N459" s="9">
        <v>49.88</v>
      </c>
      <c r="O459" s="9">
        <v>11.9</v>
      </c>
      <c r="P459" s="52">
        <f t="shared" si="85"/>
        <v>37.980000000000004</v>
      </c>
      <c r="Q459" s="11">
        <v>470</v>
      </c>
      <c r="R459" s="12">
        <f t="shared" si="80"/>
        <v>17850.600000000002</v>
      </c>
      <c r="S459" s="11"/>
      <c r="T459" s="13"/>
      <c r="V459" s="19" t="s">
        <v>24</v>
      </c>
      <c r="W459" s="11">
        <v>145</v>
      </c>
      <c r="X459" s="14">
        <f t="shared" si="81"/>
        <v>5507.1</v>
      </c>
      <c r="Y459" s="15">
        <v>260</v>
      </c>
      <c r="Z459" s="15">
        <f t="shared" si="82"/>
        <v>9874.8000000000011</v>
      </c>
      <c r="AA459" s="13">
        <f t="shared" si="83"/>
        <v>33232.500000000007</v>
      </c>
    </row>
    <row r="460" spans="1:27" s="28" customFormat="1" x14ac:dyDescent="0.3">
      <c r="A460" s="18">
        <v>459</v>
      </c>
      <c r="B460" s="8">
        <v>46292</v>
      </c>
      <c r="C460" s="8">
        <v>46293</v>
      </c>
      <c r="D460" s="67">
        <v>2609281113004</v>
      </c>
      <c r="E460" s="22" t="s">
        <v>1004</v>
      </c>
      <c r="F460" s="9" t="s">
        <v>1005</v>
      </c>
      <c r="G460" s="9">
        <v>42</v>
      </c>
      <c r="H460" s="43">
        <v>24</v>
      </c>
      <c r="I460" s="26" t="s">
        <v>308</v>
      </c>
      <c r="J460" s="27" t="s">
        <v>23</v>
      </c>
      <c r="K460" s="26" t="s">
        <v>30</v>
      </c>
      <c r="L460" s="48" t="s">
        <v>324</v>
      </c>
      <c r="M460" s="9" t="s">
        <v>108</v>
      </c>
      <c r="N460" s="9">
        <v>57.22</v>
      </c>
      <c r="O460" s="9">
        <v>15.22</v>
      </c>
      <c r="P460" s="52">
        <f t="shared" si="85"/>
        <v>42</v>
      </c>
      <c r="Q460" s="11">
        <v>335</v>
      </c>
      <c r="R460" s="12">
        <f t="shared" si="80"/>
        <v>14070</v>
      </c>
      <c r="S460" s="11"/>
      <c r="T460" s="13"/>
      <c r="V460" s="19" t="s">
        <v>24</v>
      </c>
      <c r="W460" s="11">
        <v>145</v>
      </c>
      <c r="X460" s="14">
        <f t="shared" si="81"/>
        <v>6090</v>
      </c>
      <c r="Y460" s="15">
        <v>260</v>
      </c>
      <c r="Z460" s="15">
        <f t="shared" si="82"/>
        <v>10920</v>
      </c>
      <c r="AA460" s="13">
        <f t="shared" si="83"/>
        <v>31080</v>
      </c>
    </row>
    <row r="461" spans="1:27" s="16" customFormat="1" x14ac:dyDescent="0.3">
      <c r="A461" s="18">
        <v>460</v>
      </c>
      <c r="B461" s="8">
        <v>46292</v>
      </c>
      <c r="C461" s="8">
        <v>46293</v>
      </c>
      <c r="D461" s="67">
        <v>2609281113005</v>
      </c>
      <c r="E461" s="22" t="s">
        <v>1006</v>
      </c>
      <c r="F461" s="9" t="s">
        <v>1007</v>
      </c>
      <c r="G461" s="9">
        <v>39</v>
      </c>
      <c r="H461" s="43">
        <v>42</v>
      </c>
      <c r="I461" s="26" t="s">
        <v>169</v>
      </c>
      <c r="J461" s="27" t="s">
        <v>23</v>
      </c>
      <c r="K461" s="26" t="s">
        <v>30</v>
      </c>
      <c r="L461" s="9" t="s">
        <v>162</v>
      </c>
      <c r="M461" s="9" t="s">
        <v>173</v>
      </c>
      <c r="N461" s="9">
        <v>51.06</v>
      </c>
      <c r="O461" s="9">
        <v>11.62</v>
      </c>
      <c r="P461" s="52">
        <f t="shared" si="85"/>
        <v>39.440000000000005</v>
      </c>
      <c r="Q461" s="11">
        <v>470</v>
      </c>
      <c r="R461" s="12">
        <f t="shared" si="80"/>
        <v>18536.800000000003</v>
      </c>
      <c r="S461" s="11"/>
      <c r="T461" s="13"/>
      <c r="V461" s="19" t="s">
        <v>24</v>
      </c>
      <c r="W461" s="11">
        <v>145</v>
      </c>
      <c r="X461" s="14">
        <f t="shared" si="81"/>
        <v>5718.8000000000011</v>
      </c>
      <c r="Y461" s="15">
        <v>260</v>
      </c>
      <c r="Z461" s="15">
        <f t="shared" si="82"/>
        <v>10254.400000000001</v>
      </c>
      <c r="AA461" s="13">
        <f t="shared" si="83"/>
        <v>34510.000000000007</v>
      </c>
    </row>
    <row r="462" spans="1:27" s="16" customFormat="1" x14ac:dyDescent="0.3">
      <c r="A462" s="18">
        <v>461</v>
      </c>
      <c r="B462" s="8">
        <v>46292</v>
      </c>
      <c r="C462" s="8">
        <v>46293</v>
      </c>
      <c r="D462" s="67">
        <v>2609281113006</v>
      </c>
      <c r="E462" s="22" t="s">
        <v>1008</v>
      </c>
      <c r="F462" s="9" t="s">
        <v>1009</v>
      </c>
      <c r="G462" s="9">
        <v>43</v>
      </c>
      <c r="H462" s="43">
        <v>24</v>
      </c>
      <c r="I462" s="26" t="s">
        <v>308</v>
      </c>
      <c r="J462" s="27" t="s">
        <v>23</v>
      </c>
      <c r="K462" s="26" t="s">
        <v>30</v>
      </c>
      <c r="L462" s="9" t="s">
        <v>205</v>
      </c>
      <c r="M462" s="9" t="s">
        <v>108</v>
      </c>
      <c r="N462" s="9">
        <v>61.02</v>
      </c>
      <c r="O462" s="9">
        <v>17.760000000000002</v>
      </c>
      <c r="P462" s="52">
        <f t="shared" si="85"/>
        <v>43.260000000000005</v>
      </c>
      <c r="Q462" s="11">
        <v>335</v>
      </c>
      <c r="R462" s="12">
        <f t="shared" si="80"/>
        <v>14492.100000000002</v>
      </c>
      <c r="S462" s="11"/>
      <c r="T462" s="13"/>
      <c r="V462" s="19" t="s">
        <v>24</v>
      </c>
      <c r="W462" s="11">
        <v>145</v>
      </c>
      <c r="X462" s="14">
        <f t="shared" si="81"/>
        <v>6272.7000000000007</v>
      </c>
      <c r="Y462" s="15">
        <v>260</v>
      </c>
      <c r="Z462" s="15">
        <f t="shared" si="82"/>
        <v>11247.600000000002</v>
      </c>
      <c r="AA462" s="13">
        <f t="shared" si="83"/>
        <v>32012.400000000005</v>
      </c>
    </row>
    <row r="463" spans="1:27" s="16" customFormat="1" x14ac:dyDescent="0.3">
      <c r="A463" s="18">
        <v>462</v>
      </c>
      <c r="B463" s="8">
        <v>46292</v>
      </c>
      <c r="C463" s="8">
        <v>46293</v>
      </c>
      <c r="D463" s="67">
        <v>2609281113007</v>
      </c>
      <c r="E463" s="22" t="s">
        <v>1010</v>
      </c>
      <c r="F463" s="9" t="s">
        <v>1011</v>
      </c>
      <c r="G463" s="9">
        <v>41</v>
      </c>
      <c r="H463" s="43">
        <v>42</v>
      </c>
      <c r="I463" s="26" t="s">
        <v>169</v>
      </c>
      <c r="J463" s="27" t="s">
        <v>23</v>
      </c>
      <c r="K463" s="26" t="s">
        <v>30</v>
      </c>
      <c r="L463" s="9" t="s">
        <v>74</v>
      </c>
      <c r="M463" s="9" t="s">
        <v>31</v>
      </c>
      <c r="N463" s="9">
        <v>57.66</v>
      </c>
      <c r="O463" s="9">
        <v>15.8</v>
      </c>
      <c r="P463" s="52">
        <f t="shared" si="85"/>
        <v>41.86</v>
      </c>
      <c r="Q463" s="11">
        <v>525</v>
      </c>
      <c r="R463" s="12">
        <f t="shared" si="80"/>
        <v>21976.5</v>
      </c>
      <c r="S463" s="11"/>
      <c r="T463" s="13"/>
      <c r="V463" s="19" t="s">
        <v>24</v>
      </c>
      <c r="W463" s="11">
        <v>145</v>
      </c>
      <c r="X463" s="14">
        <f t="shared" si="81"/>
        <v>6069.7</v>
      </c>
      <c r="Y463" s="15">
        <v>260</v>
      </c>
      <c r="Z463" s="15">
        <f t="shared" si="82"/>
        <v>10883.6</v>
      </c>
      <c r="AA463" s="13">
        <f t="shared" si="83"/>
        <v>38929.800000000003</v>
      </c>
    </row>
    <row r="464" spans="1:27" s="16" customFormat="1" x14ac:dyDescent="0.3">
      <c r="A464" s="18">
        <v>463</v>
      </c>
      <c r="B464" s="8">
        <v>46292</v>
      </c>
      <c r="C464" s="8">
        <v>46293</v>
      </c>
      <c r="D464" s="67">
        <v>2609281113008</v>
      </c>
      <c r="E464" s="22" t="s">
        <v>1012</v>
      </c>
      <c r="F464" s="9" t="s">
        <v>1013</v>
      </c>
      <c r="G464" s="9">
        <v>36</v>
      </c>
      <c r="H464" s="43">
        <v>42</v>
      </c>
      <c r="I464" s="26" t="s">
        <v>169</v>
      </c>
      <c r="J464" s="27" t="s">
        <v>23</v>
      </c>
      <c r="K464" s="26" t="s">
        <v>30</v>
      </c>
      <c r="L464" s="48" t="s">
        <v>111</v>
      </c>
      <c r="M464" s="9" t="s">
        <v>173</v>
      </c>
      <c r="N464" s="9">
        <v>48.34</v>
      </c>
      <c r="O464" s="9">
        <v>11.78</v>
      </c>
      <c r="P464" s="52">
        <f t="shared" si="85"/>
        <v>36.56</v>
      </c>
      <c r="Q464" s="11">
        <v>470</v>
      </c>
      <c r="R464" s="12">
        <f t="shared" si="80"/>
        <v>17183.2</v>
      </c>
      <c r="S464" s="11"/>
      <c r="T464" s="13"/>
      <c r="V464" s="19" t="s">
        <v>24</v>
      </c>
      <c r="W464" s="11">
        <v>145</v>
      </c>
      <c r="X464" s="14">
        <f t="shared" si="81"/>
        <v>5301.2000000000007</v>
      </c>
      <c r="Y464" s="15">
        <v>260</v>
      </c>
      <c r="Z464" s="15">
        <f t="shared" si="82"/>
        <v>9505.6</v>
      </c>
      <c r="AA464" s="13">
        <f t="shared" si="83"/>
        <v>31990</v>
      </c>
    </row>
    <row r="465" spans="1:27" s="16" customFormat="1" x14ac:dyDescent="0.3">
      <c r="A465" s="18">
        <v>464</v>
      </c>
      <c r="B465" s="8">
        <v>46292</v>
      </c>
      <c r="C465" s="8">
        <v>46293</v>
      </c>
      <c r="D465" s="67">
        <v>2609281113009</v>
      </c>
      <c r="E465" s="22" t="s">
        <v>1014</v>
      </c>
      <c r="F465" s="9" t="s">
        <v>1015</v>
      </c>
      <c r="G465" s="9">
        <v>43</v>
      </c>
      <c r="H465" s="43">
        <v>42</v>
      </c>
      <c r="I465" s="26" t="s">
        <v>169</v>
      </c>
      <c r="J465" s="27" t="s">
        <v>23</v>
      </c>
      <c r="K465" s="26" t="s">
        <v>30</v>
      </c>
      <c r="L465" s="9" t="s">
        <v>170</v>
      </c>
      <c r="M465" s="9" t="s">
        <v>31</v>
      </c>
      <c r="N465" s="9">
        <v>58.7</v>
      </c>
      <c r="O465" s="9">
        <v>15.02</v>
      </c>
      <c r="P465" s="52">
        <f t="shared" si="85"/>
        <v>43.680000000000007</v>
      </c>
      <c r="Q465" s="11">
        <v>525</v>
      </c>
      <c r="R465" s="12">
        <f t="shared" si="80"/>
        <v>22932.000000000004</v>
      </c>
      <c r="S465" s="11"/>
      <c r="T465" s="13"/>
      <c r="V465" s="19" t="s">
        <v>24</v>
      </c>
      <c r="W465" s="11">
        <v>145</v>
      </c>
      <c r="X465" s="14">
        <f t="shared" si="81"/>
        <v>6333.6000000000013</v>
      </c>
      <c r="Y465" s="15">
        <v>260</v>
      </c>
      <c r="Z465" s="15">
        <f t="shared" si="82"/>
        <v>11356.800000000001</v>
      </c>
      <c r="AA465" s="13">
        <f t="shared" si="83"/>
        <v>40622.400000000009</v>
      </c>
    </row>
    <row r="466" spans="1:27" s="16" customFormat="1" x14ac:dyDescent="0.3">
      <c r="A466" s="18">
        <v>465</v>
      </c>
      <c r="B466" s="8">
        <v>46292</v>
      </c>
      <c r="C466" s="8">
        <v>46293</v>
      </c>
      <c r="D466" s="67">
        <v>2609281113010</v>
      </c>
      <c r="E466" s="22" t="s">
        <v>1016</v>
      </c>
      <c r="F466" s="9" t="s">
        <v>1017</v>
      </c>
      <c r="G466" s="9">
        <v>32</v>
      </c>
      <c r="H466" s="43">
        <v>42</v>
      </c>
      <c r="I466" s="26" t="s">
        <v>169</v>
      </c>
      <c r="J466" s="27" t="s">
        <v>23</v>
      </c>
      <c r="K466" s="26" t="s">
        <v>30</v>
      </c>
      <c r="L466" s="9" t="s">
        <v>188</v>
      </c>
      <c r="M466" s="9" t="s">
        <v>31</v>
      </c>
      <c r="N466" s="9">
        <v>44.4</v>
      </c>
      <c r="O466" s="9">
        <v>11.8</v>
      </c>
      <c r="P466" s="52">
        <f t="shared" si="85"/>
        <v>32.599999999999994</v>
      </c>
      <c r="Q466" s="11">
        <v>525</v>
      </c>
      <c r="R466" s="12">
        <f t="shared" si="80"/>
        <v>17114.999999999996</v>
      </c>
      <c r="S466" s="11"/>
      <c r="T466" s="13"/>
      <c r="V466" s="19" t="s">
        <v>24</v>
      </c>
      <c r="W466" s="11">
        <v>145</v>
      </c>
      <c r="X466" s="14">
        <f t="shared" si="81"/>
        <v>4726.9999999999991</v>
      </c>
      <c r="Y466" s="15">
        <v>260</v>
      </c>
      <c r="Z466" s="15">
        <f t="shared" si="82"/>
        <v>8475.9999999999982</v>
      </c>
      <c r="AA466" s="13">
        <f t="shared" si="83"/>
        <v>30317.999999999993</v>
      </c>
    </row>
    <row r="467" spans="1:27" s="16" customFormat="1" x14ac:dyDescent="0.3">
      <c r="A467" s="18">
        <v>466</v>
      </c>
      <c r="B467" s="8">
        <v>46292</v>
      </c>
      <c r="C467" s="8">
        <v>46293</v>
      </c>
      <c r="D467" s="67">
        <v>2609281113011</v>
      </c>
      <c r="E467" s="22" t="s">
        <v>1018</v>
      </c>
      <c r="F467" s="9" t="s">
        <v>1019</v>
      </c>
      <c r="G467" s="9">
        <v>39</v>
      </c>
      <c r="H467" s="43">
        <v>24</v>
      </c>
      <c r="I467" s="26" t="s">
        <v>308</v>
      </c>
      <c r="J467" s="27" t="s">
        <v>23</v>
      </c>
      <c r="K467" s="26" t="s">
        <v>30</v>
      </c>
      <c r="L467" s="9" t="s">
        <v>132</v>
      </c>
      <c r="M467" s="9" t="s">
        <v>108</v>
      </c>
      <c r="N467" s="9">
        <v>55.46</v>
      </c>
      <c r="O467" s="9">
        <v>15.72</v>
      </c>
      <c r="P467" s="52">
        <f t="shared" si="85"/>
        <v>39.74</v>
      </c>
      <c r="Q467" s="11">
        <v>335</v>
      </c>
      <c r="R467" s="12">
        <f t="shared" si="80"/>
        <v>13312.900000000001</v>
      </c>
      <c r="S467" s="11"/>
      <c r="T467" s="13"/>
      <c r="V467" s="19" t="s">
        <v>24</v>
      </c>
      <c r="W467" s="11">
        <v>145</v>
      </c>
      <c r="X467" s="14">
        <f t="shared" si="81"/>
        <v>5762.3</v>
      </c>
      <c r="Y467" s="15">
        <v>260</v>
      </c>
      <c r="Z467" s="15">
        <f t="shared" si="82"/>
        <v>10332.4</v>
      </c>
      <c r="AA467" s="13">
        <f t="shared" si="83"/>
        <v>29407.599999999999</v>
      </c>
    </row>
    <row r="468" spans="1:27" s="16" customFormat="1" x14ac:dyDescent="0.3">
      <c r="A468" s="18">
        <v>467</v>
      </c>
      <c r="B468" s="8">
        <v>46292</v>
      </c>
      <c r="C468" s="8">
        <v>46293</v>
      </c>
      <c r="D468" s="67">
        <v>2609281113012</v>
      </c>
      <c r="E468" s="22" t="s">
        <v>1020</v>
      </c>
      <c r="F468" s="9" t="s">
        <v>1015</v>
      </c>
      <c r="G468" s="9">
        <v>37</v>
      </c>
      <c r="H468" s="43">
        <v>24</v>
      </c>
      <c r="I468" s="26" t="s">
        <v>308</v>
      </c>
      <c r="J468" s="27" t="s">
        <v>23</v>
      </c>
      <c r="K468" s="26" t="s">
        <v>30</v>
      </c>
      <c r="L468" s="48" t="s">
        <v>97</v>
      </c>
      <c r="M468" s="9" t="s">
        <v>108</v>
      </c>
      <c r="N468" s="9">
        <v>51.66</v>
      </c>
      <c r="O468" s="9">
        <v>14</v>
      </c>
      <c r="P468" s="52">
        <f t="shared" si="85"/>
        <v>37.659999999999997</v>
      </c>
      <c r="Q468" s="11">
        <v>335</v>
      </c>
      <c r="R468" s="12">
        <f t="shared" si="80"/>
        <v>12616.099999999999</v>
      </c>
      <c r="S468" s="11"/>
      <c r="T468" s="13"/>
      <c r="V468" s="19" t="s">
        <v>24</v>
      </c>
      <c r="W468" s="11">
        <v>145</v>
      </c>
      <c r="X468" s="14">
        <f t="shared" si="81"/>
        <v>5460.7</v>
      </c>
      <c r="Y468" s="15">
        <v>260</v>
      </c>
      <c r="Z468" s="15">
        <f t="shared" si="82"/>
        <v>9791.5999999999985</v>
      </c>
      <c r="AA468" s="13">
        <f t="shared" si="83"/>
        <v>27868.399999999998</v>
      </c>
    </row>
    <row r="469" spans="1:27" s="16" customFormat="1" x14ac:dyDescent="0.3">
      <c r="A469" s="18">
        <v>468</v>
      </c>
      <c r="B469" s="8">
        <v>46293</v>
      </c>
      <c r="C469" s="8">
        <v>46293</v>
      </c>
      <c r="D469" s="68">
        <v>2609281113013</v>
      </c>
      <c r="E469" s="22" t="s">
        <v>1021</v>
      </c>
      <c r="F469" s="9" t="s">
        <v>1022</v>
      </c>
      <c r="G469" s="9">
        <v>41</v>
      </c>
      <c r="H469" s="43">
        <v>42</v>
      </c>
      <c r="I469" s="26" t="s">
        <v>169</v>
      </c>
      <c r="J469" s="27" t="s">
        <v>23</v>
      </c>
      <c r="K469" s="26" t="s">
        <v>30</v>
      </c>
      <c r="L469" s="48" t="s">
        <v>324</v>
      </c>
      <c r="M469" s="9" t="s">
        <v>31</v>
      </c>
      <c r="N469" s="9">
        <v>56.6</v>
      </c>
      <c r="O469" s="9">
        <v>14.96</v>
      </c>
      <c r="P469" s="52">
        <f>N469-O469</f>
        <v>41.64</v>
      </c>
      <c r="Q469" s="11">
        <v>525</v>
      </c>
      <c r="R469" s="12">
        <f t="shared" si="80"/>
        <v>21861</v>
      </c>
      <c r="S469" s="11"/>
      <c r="T469" s="13"/>
      <c r="V469" s="19" t="s">
        <v>24</v>
      </c>
      <c r="W469" s="11">
        <v>145</v>
      </c>
      <c r="X469" s="14">
        <f t="shared" ref="X469:X483" si="86">P469*W469</f>
        <v>6037.8</v>
      </c>
      <c r="Y469" s="15">
        <v>260</v>
      </c>
      <c r="Z469" s="15">
        <f t="shared" ref="Z469:Z483" si="87">P469*Y469</f>
        <v>10826.4</v>
      </c>
      <c r="AA469" s="13">
        <f t="shared" ref="AA469:AA483" si="88">R469+X469+Z469</f>
        <v>38725.199999999997</v>
      </c>
    </row>
    <row r="470" spans="1:27" s="28" customFormat="1" x14ac:dyDescent="0.3">
      <c r="A470" s="18">
        <v>469</v>
      </c>
      <c r="B470" s="8">
        <v>46293</v>
      </c>
      <c r="C470" s="8">
        <v>46293</v>
      </c>
      <c r="D470" s="69">
        <v>2609281113014</v>
      </c>
      <c r="E470" s="22" t="s">
        <v>1023</v>
      </c>
      <c r="F470" s="9" t="s">
        <v>1024</v>
      </c>
      <c r="G470" s="9">
        <v>48</v>
      </c>
      <c r="H470" s="43">
        <v>42</v>
      </c>
      <c r="I470" s="26" t="s">
        <v>169</v>
      </c>
      <c r="J470" s="27" t="s">
        <v>23</v>
      </c>
      <c r="K470" s="26" t="s">
        <v>30</v>
      </c>
      <c r="L470" s="48" t="s">
        <v>395</v>
      </c>
      <c r="M470" s="9" t="s">
        <v>173</v>
      </c>
      <c r="N470" s="9">
        <v>65.239999999999995</v>
      </c>
      <c r="O470" s="9">
        <v>16.399999999999999</v>
      </c>
      <c r="P470" s="52">
        <f t="shared" ref="P470:P483" si="89">N470-O470</f>
        <v>48.839999999999996</v>
      </c>
      <c r="Q470" s="11">
        <v>470</v>
      </c>
      <c r="R470" s="12">
        <f t="shared" si="80"/>
        <v>22954.799999999999</v>
      </c>
      <c r="S470" s="11"/>
      <c r="T470" s="13"/>
      <c r="V470" s="19" t="s">
        <v>24</v>
      </c>
      <c r="W470" s="11">
        <v>145</v>
      </c>
      <c r="X470" s="14">
        <f t="shared" si="86"/>
        <v>7081.7999999999993</v>
      </c>
      <c r="Y470" s="15">
        <v>260</v>
      </c>
      <c r="Z470" s="15">
        <f t="shared" si="87"/>
        <v>12698.4</v>
      </c>
      <c r="AA470" s="13">
        <f t="shared" si="88"/>
        <v>42735</v>
      </c>
    </row>
    <row r="471" spans="1:27" s="16" customFormat="1" x14ac:dyDescent="0.3">
      <c r="A471" s="18">
        <v>470</v>
      </c>
      <c r="B471" s="8">
        <v>46293</v>
      </c>
      <c r="C471" s="8">
        <v>46293</v>
      </c>
      <c r="D471" s="70">
        <v>2609281113015</v>
      </c>
      <c r="E471" s="22" t="s">
        <v>1025</v>
      </c>
      <c r="F471" s="9" t="s">
        <v>1026</v>
      </c>
      <c r="G471" s="9">
        <v>46</v>
      </c>
      <c r="H471" s="37">
        <v>130</v>
      </c>
      <c r="I471" s="26" t="s">
        <v>344</v>
      </c>
      <c r="J471" s="36" t="s">
        <v>23</v>
      </c>
      <c r="K471" s="26" t="s">
        <v>30</v>
      </c>
      <c r="L471" s="48" t="s">
        <v>936</v>
      </c>
      <c r="M471" s="9" t="s">
        <v>31</v>
      </c>
      <c r="N471" s="9">
        <v>63.14</v>
      </c>
      <c r="O471" s="9">
        <v>16.2</v>
      </c>
      <c r="P471" s="52">
        <f t="shared" si="89"/>
        <v>46.94</v>
      </c>
      <c r="Q471" s="11">
        <v>520</v>
      </c>
      <c r="R471" s="12">
        <f t="shared" si="80"/>
        <v>24408.799999999999</v>
      </c>
      <c r="S471" s="11"/>
      <c r="T471" s="13"/>
      <c r="V471" s="19" t="s">
        <v>62</v>
      </c>
      <c r="W471" s="11">
        <v>150</v>
      </c>
      <c r="X471" s="14">
        <f t="shared" si="86"/>
        <v>7041</v>
      </c>
      <c r="Y471" s="15"/>
      <c r="Z471" s="15">
        <f t="shared" si="87"/>
        <v>0</v>
      </c>
      <c r="AA471" s="13">
        <f t="shared" si="88"/>
        <v>31449.8</v>
      </c>
    </row>
    <row r="472" spans="1:27" s="16" customFormat="1" x14ac:dyDescent="0.3">
      <c r="A472" s="18">
        <v>471</v>
      </c>
      <c r="B472" s="8">
        <v>46293</v>
      </c>
      <c r="C472" s="8">
        <v>46294</v>
      </c>
      <c r="D472" s="65">
        <v>2609291113001</v>
      </c>
      <c r="E472" s="22" t="s">
        <v>1027</v>
      </c>
      <c r="F472" s="9" t="s">
        <v>1028</v>
      </c>
      <c r="G472" s="9">
        <v>36</v>
      </c>
      <c r="H472" s="43">
        <v>42</v>
      </c>
      <c r="I472" s="26" t="s">
        <v>169</v>
      </c>
      <c r="J472" s="27" t="s">
        <v>23</v>
      </c>
      <c r="K472" s="26" t="s">
        <v>30</v>
      </c>
      <c r="L472" s="9" t="s">
        <v>111</v>
      </c>
      <c r="M472" s="9" t="s">
        <v>173</v>
      </c>
      <c r="N472" s="9">
        <v>48.2</v>
      </c>
      <c r="O472" s="9">
        <v>11.76</v>
      </c>
      <c r="P472" s="52">
        <f t="shared" si="89"/>
        <v>36.440000000000005</v>
      </c>
      <c r="Q472" s="11">
        <v>470</v>
      </c>
      <c r="R472" s="12">
        <f t="shared" si="80"/>
        <v>17126.800000000003</v>
      </c>
      <c r="S472" s="11"/>
      <c r="T472" s="13"/>
      <c r="V472" s="19" t="s">
        <v>24</v>
      </c>
      <c r="W472" s="11">
        <v>145</v>
      </c>
      <c r="X472" s="14">
        <f t="shared" si="86"/>
        <v>5283.8000000000011</v>
      </c>
      <c r="Y472" s="15">
        <v>260</v>
      </c>
      <c r="Z472" s="15">
        <f t="shared" si="87"/>
        <v>9474.4000000000015</v>
      </c>
      <c r="AA472" s="13">
        <f t="shared" si="88"/>
        <v>31885.000000000007</v>
      </c>
    </row>
    <row r="473" spans="1:27" s="28" customFormat="1" x14ac:dyDescent="0.3">
      <c r="A473" s="18">
        <v>472</v>
      </c>
      <c r="B473" s="8">
        <v>46293</v>
      </c>
      <c r="C473" s="8">
        <v>46294</v>
      </c>
      <c r="D473" s="65">
        <v>2609291113002</v>
      </c>
      <c r="E473" s="22" t="s">
        <v>1029</v>
      </c>
      <c r="F473" s="9" t="s">
        <v>1030</v>
      </c>
      <c r="G473" s="9">
        <v>40</v>
      </c>
      <c r="H473" s="43">
        <v>42</v>
      </c>
      <c r="I473" s="26" t="s">
        <v>169</v>
      </c>
      <c r="J473" s="27" t="s">
        <v>23</v>
      </c>
      <c r="K473" s="26" t="s">
        <v>30</v>
      </c>
      <c r="L473" s="48" t="s">
        <v>170</v>
      </c>
      <c r="M473" s="9" t="s">
        <v>108</v>
      </c>
      <c r="N473" s="9">
        <v>55.36</v>
      </c>
      <c r="O473" s="9">
        <v>15.06</v>
      </c>
      <c r="P473" s="52">
        <f t="shared" si="89"/>
        <v>40.299999999999997</v>
      </c>
      <c r="Q473" s="11">
        <v>340</v>
      </c>
      <c r="R473" s="12">
        <f t="shared" si="80"/>
        <v>13701.999999999998</v>
      </c>
      <c r="S473" s="11"/>
      <c r="T473" s="13"/>
      <c r="V473" s="19" t="s">
        <v>24</v>
      </c>
      <c r="W473" s="11">
        <v>145</v>
      </c>
      <c r="X473" s="14">
        <f t="shared" si="86"/>
        <v>5843.5</v>
      </c>
      <c r="Y473" s="15">
        <v>260</v>
      </c>
      <c r="Z473" s="15">
        <f t="shared" si="87"/>
        <v>10478</v>
      </c>
      <c r="AA473" s="13">
        <f t="shared" si="88"/>
        <v>30023.5</v>
      </c>
    </row>
    <row r="474" spans="1:27" s="16" customFormat="1" x14ac:dyDescent="0.3">
      <c r="A474" s="18">
        <v>473</v>
      </c>
      <c r="B474" s="8">
        <v>46293</v>
      </c>
      <c r="C474" s="8">
        <v>46294</v>
      </c>
      <c r="D474" s="65">
        <v>2609291113003</v>
      </c>
      <c r="E474" s="22" t="s">
        <v>1031</v>
      </c>
      <c r="F474" s="9" t="s">
        <v>1032</v>
      </c>
      <c r="G474" s="9">
        <v>38</v>
      </c>
      <c r="H474" s="43">
        <v>42</v>
      </c>
      <c r="I474" s="26" t="s">
        <v>169</v>
      </c>
      <c r="J474" s="27" t="s">
        <v>23</v>
      </c>
      <c r="K474" s="26" t="s">
        <v>30</v>
      </c>
      <c r="L474" s="9" t="s">
        <v>386</v>
      </c>
      <c r="M474" s="9" t="s">
        <v>173</v>
      </c>
      <c r="N474" s="9">
        <v>50.82</v>
      </c>
      <c r="O474" s="9">
        <v>11.88</v>
      </c>
      <c r="P474" s="52">
        <f t="shared" si="89"/>
        <v>38.94</v>
      </c>
      <c r="Q474" s="11">
        <v>470</v>
      </c>
      <c r="R474" s="12">
        <f t="shared" si="80"/>
        <v>18301.8</v>
      </c>
      <c r="S474" s="11"/>
      <c r="T474" s="13"/>
      <c r="V474" s="19" t="s">
        <v>24</v>
      </c>
      <c r="W474" s="11">
        <v>145</v>
      </c>
      <c r="X474" s="14">
        <f t="shared" si="86"/>
        <v>5646.2999999999993</v>
      </c>
      <c r="Y474" s="15">
        <v>260</v>
      </c>
      <c r="Z474" s="15">
        <f t="shared" si="87"/>
        <v>10124.4</v>
      </c>
      <c r="AA474" s="13">
        <f t="shared" si="88"/>
        <v>34072.5</v>
      </c>
    </row>
    <row r="475" spans="1:27" s="16" customFormat="1" x14ac:dyDescent="0.3">
      <c r="A475" s="18">
        <v>474</v>
      </c>
      <c r="B475" s="8">
        <v>46293</v>
      </c>
      <c r="C475" s="8">
        <v>46294</v>
      </c>
      <c r="D475" s="65">
        <v>2609291113004</v>
      </c>
      <c r="E475" s="22" t="s">
        <v>1033</v>
      </c>
      <c r="F475" s="9" t="s">
        <v>1034</v>
      </c>
      <c r="G475" s="9">
        <v>40</v>
      </c>
      <c r="H475" s="43">
        <v>42</v>
      </c>
      <c r="I475" s="26" t="s">
        <v>169</v>
      </c>
      <c r="J475" s="27" t="s">
        <v>23</v>
      </c>
      <c r="K475" s="26" t="s">
        <v>30</v>
      </c>
      <c r="L475" s="9" t="s">
        <v>74</v>
      </c>
      <c r="M475" s="9" t="s">
        <v>31</v>
      </c>
      <c r="N475" s="9">
        <v>55.92</v>
      </c>
      <c r="O475" s="9">
        <v>15.78</v>
      </c>
      <c r="P475" s="52">
        <f t="shared" si="89"/>
        <v>40.14</v>
      </c>
      <c r="Q475" s="11">
        <v>525</v>
      </c>
      <c r="R475" s="12">
        <f t="shared" si="80"/>
        <v>21073.5</v>
      </c>
      <c r="S475" s="11"/>
      <c r="T475" s="13"/>
      <c r="V475" s="19" t="s">
        <v>24</v>
      </c>
      <c r="W475" s="11">
        <v>145</v>
      </c>
      <c r="X475" s="14">
        <f t="shared" si="86"/>
        <v>5820.3</v>
      </c>
      <c r="Y475" s="15">
        <v>260</v>
      </c>
      <c r="Z475" s="15">
        <f t="shared" si="87"/>
        <v>10436.4</v>
      </c>
      <c r="AA475" s="13">
        <f t="shared" si="88"/>
        <v>37330.199999999997</v>
      </c>
    </row>
    <row r="476" spans="1:27" s="16" customFormat="1" x14ac:dyDescent="0.3">
      <c r="A476" s="18">
        <v>475</v>
      </c>
      <c r="B476" s="8">
        <v>46293</v>
      </c>
      <c r="C476" s="8">
        <v>46294</v>
      </c>
      <c r="D476" s="65">
        <v>2609291113005</v>
      </c>
      <c r="E476" s="22" t="s">
        <v>1035</v>
      </c>
      <c r="F476" s="9" t="s">
        <v>1036</v>
      </c>
      <c r="G476" s="9">
        <v>39</v>
      </c>
      <c r="H476" s="43">
        <v>42</v>
      </c>
      <c r="I476" s="26" t="s">
        <v>169</v>
      </c>
      <c r="J476" s="27" t="s">
        <v>23</v>
      </c>
      <c r="K476" s="26" t="s">
        <v>30</v>
      </c>
      <c r="L476" s="9" t="s">
        <v>70</v>
      </c>
      <c r="M476" s="9" t="s">
        <v>108</v>
      </c>
      <c r="N476" s="9">
        <v>55.1</v>
      </c>
      <c r="O476" s="9">
        <v>15.8</v>
      </c>
      <c r="P476" s="52">
        <f t="shared" si="89"/>
        <v>39.299999999999997</v>
      </c>
      <c r="Q476" s="11">
        <v>340</v>
      </c>
      <c r="R476" s="12">
        <f t="shared" si="80"/>
        <v>13361.999999999998</v>
      </c>
      <c r="S476" s="11"/>
      <c r="T476" s="13"/>
      <c r="V476" s="19" t="s">
        <v>24</v>
      </c>
      <c r="W476" s="11">
        <v>145</v>
      </c>
      <c r="X476" s="14">
        <f t="shared" si="86"/>
        <v>5698.5</v>
      </c>
      <c r="Y476" s="15">
        <v>260</v>
      </c>
      <c r="Z476" s="15">
        <f t="shared" si="87"/>
        <v>10218</v>
      </c>
      <c r="AA476" s="13">
        <f t="shared" si="88"/>
        <v>29278.5</v>
      </c>
    </row>
    <row r="477" spans="1:27" s="16" customFormat="1" x14ac:dyDescent="0.3">
      <c r="A477" s="18">
        <v>476</v>
      </c>
      <c r="B477" s="8">
        <v>46293</v>
      </c>
      <c r="C477" s="8">
        <v>46294</v>
      </c>
      <c r="D477" s="65">
        <v>2609291113006</v>
      </c>
      <c r="E477" s="22" t="s">
        <v>1037</v>
      </c>
      <c r="F477" s="9" t="s">
        <v>1038</v>
      </c>
      <c r="G477" s="9">
        <v>42</v>
      </c>
      <c r="H477" s="43">
        <v>42</v>
      </c>
      <c r="I477" s="26" t="s">
        <v>169</v>
      </c>
      <c r="J477" s="27" t="s">
        <v>23</v>
      </c>
      <c r="K477" s="26" t="s">
        <v>30</v>
      </c>
      <c r="L477" s="48" t="s">
        <v>324</v>
      </c>
      <c r="M477" s="9" t="s">
        <v>31</v>
      </c>
      <c r="N477" s="9">
        <v>57.8</v>
      </c>
      <c r="O477" s="9">
        <v>15.26</v>
      </c>
      <c r="P477" s="52">
        <f t="shared" si="89"/>
        <v>42.54</v>
      </c>
      <c r="Q477" s="11">
        <v>525</v>
      </c>
      <c r="R477" s="12">
        <f t="shared" si="80"/>
        <v>22333.5</v>
      </c>
      <c r="S477" s="11"/>
      <c r="T477" s="13"/>
      <c r="V477" s="19" t="s">
        <v>24</v>
      </c>
      <c r="W477" s="11">
        <v>145</v>
      </c>
      <c r="X477" s="14">
        <f t="shared" si="86"/>
        <v>6168.3</v>
      </c>
      <c r="Y477" s="15">
        <v>260</v>
      </c>
      <c r="Z477" s="15">
        <f t="shared" si="87"/>
        <v>11060.4</v>
      </c>
      <c r="AA477" s="13">
        <f t="shared" si="88"/>
        <v>39562.199999999997</v>
      </c>
    </row>
    <row r="478" spans="1:27" s="16" customFormat="1" x14ac:dyDescent="0.3">
      <c r="A478" s="18">
        <v>477</v>
      </c>
      <c r="B478" s="8">
        <v>46293</v>
      </c>
      <c r="C478" s="8">
        <v>46294</v>
      </c>
      <c r="D478" s="65">
        <v>2609291113007</v>
      </c>
      <c r="E478" s="22" t="s">
        <v>1039</v>
      </c>
      <c r="F478" s="9" t="s">
        <v>1040</v>
      </c>
      <c r="G478" s="9">
        <v>35</v>
      </c>
      <c r="H478" s="43">
        <v>42</v>
      </c>
      <c r="I478" s="26" t="s">
        <v>169</v>
      </c>
      <c r="J478" s="27" t="s">
        <v>23</v>
      </c>
      <c r="K478" s="26" t="s">
        <v>30</v>
      </c>
      <c r="L478" s="9" t="s">
        <v>162</v>
      </c>
      <c r="M478" s="9" t="s">
        <v>173</v>
      </c>
      <c r="N478" s="9">
        <v>47.58</v>
      </c>
      <c r="O478" s="9">
        <v>11.62</v>
      </c>
      <c r="P478" s="52">
        <f t="shared" si="89"/>
        <v>35.96</v>
      </c>
      <c r="Q478" s="11">
        <v>470</v>
      </c>
      <c r="R478" s="12">
        <f t="shared" si="80"/>
        <v>16901.2</v>
      </c>
      <c r="S478" s="11"/>
      <c r="T478" s="13"/>
      <c r="V478" s="19" t="s">
        <v>24</v>
      </c>
      <c r="W478" s="11">
        <v>145</v>
      </c>
      <c r="X478" s="14">
        <f t="shared" si="86"/>
        <v>5214.2</v>
      </c>
      <c r="Y478" s="15">
        <v>260</v>
      </c>
      <c r="Z478" s="15">
        <f t="shared" si="87"/>
        <v>9349.6</v>
      </c>
      <c r="AA478" s="13">
        <f t="shared" si="88"/>
        <v>31465</v>
      </c>
    </row>
    <row r="479" spans="1:27" s="16" customFormat="1" x14ac:dyDescent="0.3">
      <c r="A479" s="18">
        <v>478</v>
      </c>
      <c r="B479" s="8">
        <v>46293</v>
      </c>
      <c r="C479" s="8">
        <v>46294</v>
      </c>
      <c r="D479" s="65">
        <v>2609291113008</v>
      </c>
      <c r="E479" s="22" t="s">
        <v>1041</v>
      </c>
      <c r="F479" s="9" t="s">
        <v>1042</v>
      </c>
      <c r="G479" s="9">
        <v>41</v>
      </c>
      <c r="H479" s="43">
        <v>42</v>
      </c>
      <c r="I479" s="26" t="s">
        <v>169</v>
      </c>
      <c r="J479" s="27" t="s">
        <v>23</v>
      </c>
      <c r="K479" s="26" t="s">
        <v>30</v>
      </c>
      <c r="L479" s="9" t="s">
        <v>132</v>
      </c>
      <c r="M479" s="9" t="s">
        <v>31</v>
      </c>
      <c r="N479" s="9">
        <v>56.86</v>
      </c>
      <c r="O479" s="9">
        <v>15.74</v>
      </c>
      <c r="P479" s="52">
        <f t="shared" si="89"/>
        <v>41.12</v>
      </c>
      <c r="Q479" s="11">
        <v>525</v>
      </c>
      <c r="R479" s="12">
        <f t="shared" si="80"/>
        <v>21588</v>
      </c>
      <c r="S479" s="11"/>
      <c r="T479" s="13"/>
      <c r="V479" s="19" t="s">
        <v>24</v>
      </c>
      <c r="W479" s="11">
        <v>145</v>
      </c>
      <c r="X479" s="14">
        <f t="shared" si="86"/>
        <v>5962.4</v>
      </c>
      <c r="Y479" s="15">
        <v>260</v>
      </c>
      <c r="Z479" s="15">
        <f t="shared" si="87"/>
        <v>10691.199999999999</v>
      </c>
      <c r="AA479" s="13">
        <f t="shared" si="88"/>
        <v>38241.599999999999</v>
      </c>
    </row>
    <row r="480" spans="1:27" s="16" customFormat="1" x14ac:dyDescent="0.3">
      <c r="A480" s="18">
        <v>479</v>
      </c>
      <c r="B480" s="8">
        <v>46293</v>
      </c>
      <c r="C480" s="8">
        <v>46294</v>
      </c>
      <c r="D480" s="65">
        <v>2609291113009</v>
      </c>
      <c r="E480" s="22" t="s">
        <v>1043</v>
      </c>
      <c r="F480" s="9" t="s">
        <v>1044</v>
      </c>
      <c r="G480" s="9">
        <v>42</v>
      </c>
      <c r="H480" s="43">
        <v>42</v>
      </c>
      <c r="I480" s="26" t="s">
        <v>169</v>
      </c>
      <c r="J480" s="27" t="s">
        <v>23</v>
      </c>
      <c r="K480" s="26" t="s">
        <v>30</v>
      </c>
      <c r="L480" s="9" t="s">
        <v>319</v>
      </c>
      <c r="M480" s="9" t="s">
        <v>31</v>
      </c>
      <c r="N480" s="9">
        <v>57.16</v>
      </c>
      <c r="O480" s="9">
        <v>15.98</v>
      </c>
      <c r="P480" s="52">
        <f t="shared" si="89"/>
        <v>41.179999999999993</v>
      </c>
      <c r="Q480" s="11">
        <v>525</v>
      </c>
      <c r="R480" s="12">
        <f t="shared" si="80"/>
        <v>21619.499999999996</v>
      </c>
      <c r="S480" s="11"/>
      <c r="T480" s="13"/>
      <c r="V480" s="19" t="s">
        <v>24</v>
      </c>
      <c r="W480" s="11">
        <v>145</v>
      </c>
      <c r="X480" s="14">
        <f t="shared" si="86"/>
        <v>5971.0999999999985</v>
      </c>
      <c r="Y480" s="15">
        <v>260</v>
      </c>
      <c r="Z480" s="15">
        <f t="shared" si="87"/>
        <v>10706.799999999997</v>
      </c>
      <c r="AA480" s="13">
        <f t="shared" si="88"/>
        <v>38297.399999999994</v>
      </c>
    </row>
    <row r="481" spans="1:27" s="16" customFormat="1" x14ac:dyDescent="0.3">
      <c r="A481" s="18">
        <v>480</v>
      </c>
      <c r="B481" s="8">
        <v>46293</v>
      </c>
      <c r="C481" s="8">
        <v>46294</v>
      </c>
      <c r="D481" s="65">
        <v>2609291113010</v>
      </c>
      <c r="E481" s="22" t="s">
        <v>1045</v>
      </c>
      <c r="F481" s="9" t="s">
        <v>1046</v>
      </c>
      <c r="G481" s="9">
        <v>42</v>
      </c>
      <c r="H481" s="43">
        <v>42</v>
      </c>
      <c r="I481" s="26" t="s">
        <v>169</v>
      </c>
      <c r="J481" s="27" t="s">
        <v>23</v>
      </c>
      <c r="K481" s="26" t="s">
        <v>30</v>
      </c>
      <c r="L481" s="48" t="s">
        <v>97</v>
      </c>
      <c r="M481" s="9" t="s">
        <v>173</v>
      </c>
      <c r="N481" s="9">
        <v>56.86</v>
      </c>
      <c r="O481" s="9">
        <v>13.92</v>
      </c>
      <c r="P481" s="52">
        <f t="shared" si="89"/>
        <v>42.94</v>
      </c>
      <c r="Q481" s="11">
        <v>470</v>
      </c>
      <c r="R481" s="12">
        <f t="shared" si="80"/>
        <v>20181.8</v>
      </c>
      <c r="S481" s="11"/>
      <c r="T481" s="13"/>
      <c r="V481" s="19" t="s">
        <v>24</v>
      </c>
      <c r="W481" s="11">
        <v>145</v>
      </c>
      <c r="X481" s="14">
        <f t="shared" si="86"/>
        <v>6226.2999999999993</v>
      </c>
      <c r="Y481" s="15">
        <v>260</v>
      </c>
      <c r="Z481" s="15">
        <f t="shared" si="87"/>
        <v>11164.4</v>
      </c>
      <c r="AA481" s="13">
        <f t="shared" si="88"/>
        <v>37572.5</v>
      </c>
    </row>
    <row r="482" spans="1:27" s="16" customFormat="1" x14ac:dyDescent="0.3">
      <c r="A482" s="18">
        <v>481</v>
      </c>
      <c r="B482" s="8">
        <v>46293</v>
      </c>
      <c r="C482" s="8">
        <v>46294</v>
      </c>
      <c r="D482" s="59" t="s">
        <v>1047</v>
      </c>
      <c r="E482" s="22"/>
      <c r="F482" s="9"/>
      <c r="G482" s="9"/>
      <c r="H482" s="32"/>
      <c r="I482" s="31" t="s">
        <v>1048</v>
      </c>
      <c r="J482" s="71" t="s">
        <v>23</v>
      </c>
      <c r="K482" s="31" t="s">
        <v>297</v>
      </c>
      <c r="L482" s="48" t="s">
        <v>1049</v>
      </c>
      <c r="M482" s="9" t="s">
        <v>31</v>
      </c>
      <c r="N482" s="9">
        <v>8.9600000000000009</v>
      </c>
      <c r="O482" s="9">
        <v>3.54</v>
      </c>
      <c r="P482" s="52">
        <f t="shared" si="89"/>
        <v>5.4200000000000008</v>
      </c>
      <c r="Q482" s="11">
        <v>550</v>
      </c>
      <c r="R482" s="12">
        <f t="shared" si="80"/>
        <v>2981.0000000000005</v>
      </c>
      <c r="S482" s="11">
        <v>2981</v>
      </c>
      <c r="T482" s="13"/>
      <c r="V482" s="19" t="s">
        <v>24</v>
      </c>
      <c r="W482" s="11"/>
      <c r="X482" s="14">
        <f t="shared" si="86"/>
        <v>0</v>
      </c>
      <c r="Y482" s="15"/>
      <c r="Z482" s="15">
        <f t="shared" si="87"/>
        <v>0</v>
      </c>
      <c r="AA482" s="13">
        <f t="shared" si="88"/>
        <v>2981.0000000000005</v>
      </c>
    </row>
    <row r="483" spans="1:27" s="16" customFormat="1" x14ac:dyDescent="0.3">
      <c r="A483" s="18">
        <v>482</v>
      </c>
      <c r="B483" s="8">
        <v>46293</v>
      </c>
      <c r="C483" s="8">
        <v>46294</v>
      </c>
      <c r="D483" s="65">
        <v>2609291113011</v>
      </c>
      <c r="E483" s="22" t="s">
        <v>1050</v>
      </c>
      <c r="F483" s="9" t="s">
        <v>1051</v>
      </c>
      <c r="G483" s="9">
        <v>41</v>
      </c>
      <c r="H483" s="43">
        <v>24</v>
      </c>
      <c r="I483" s="26" t="s">
        <v>308</v>
      </c>
      <c r="J483" s="27" t="s">
        <v>23</v>
      </c>
      <c r="K483" s="26" t="s">
        <v>30</v>
      </c>
      <c r="L483" s="9" t="s">
        <v>123</v>
      </c>
      <c r="M483" s="9" t="s">
        <v>108</v>
      </c>
      <c r="N483" s="9">
        <v>57.56</v>
      </c>
      <c r="O483" s="9">
        <v>16.04</v>
      </c>
      <c r="P483" s="52">
        <f t="shared" si="89"/>
        <v>41.52</v>
      </c>
      <c r="Q483" s="11">
        <v>335</v>
      </c>
      <c r="R483" s="12">
        <f t="shared" si="80"/>
        <v>13909.2</v>
      </c>
      <c r="S483" s="11"/>
      <c r="T483" s="13"/>
      <c r="V483" s="19" t="s">
        <v>24</v>
      </c>
      <c r="W483" s="11">
        <v>145</v>
      </c>
      <c r="X483" s="14">
        <f t="shared" si="86"/>
        <v>6020.4000000000005</v>
      </c>
      <c r="Y483" s="15">
        <v>260</v>
      </c>
      <c r="Z483" s="15">
        <f t="shared" si="87"/>
        <v>10795.2</v>
      </c>
      <c r="AA483" s="13">
        <f t="shared" si="88"/>
        <v>30724.800000000003</v>
      </c>
    </row>
    <row r="484" spans="1:27" s="16" customFormat="1" x14ac:dyDescent="0.3">
      <c r="A484" s="18">
        <v>483</v>
      </c>
      <c r="B484" s="8">
        <v>46294</v>
      </c>
      <c r="C484" s="8">
        <v>46294</v>
      </c>
      <c r="D484" s="72">
        <v>260921113012</v>
      </c>
      <c r="E484" s="22" t="s">
        <v>1052</v>
      </c>
      <c r="F484" s="9" t="s">
        <v>1053</v>
      </c>
      <c r="G484" s="9">
        <v>45</v>
      </c>
      <c r="H484" s="43">
        <v>24</v>
      </c>
      <c r="I484" s="26" t="s">
        <v>308</v>
      </c>
      <c r="J484" s="27" t="s">
        <v>23</v>
      </c>
      <c r="K484" s="26" t="s">
        <v>30</v>
      </c>
      <c r="L484" s="48" t="s">
        <v>184</v>
      </c>
      <c r="M484" s="9" t="s">
        <v>108</v>
      </c>
      <c r="N484" s="9">
        <v>62.5</v>
      </c>
      <c r="O484" s="9">
        <v>16.78</v>
      </c>
      <c r="P484" s="52">
        <f>N484-O484</f>
        <v>45.72</v>
      </c>
      <c r="Q484" s="11">
        <v>335</v>
      </c>
      <c r="R484" s="12">
        <f t="shared" si="80"/>
        <v>15316.199999999999</v>
      </c>
      <c r="S484" s="11"/>
      <c r="T484" s="13"/>
      <c r="V484" s="19" t="s">
        <v>24</v>
      </c>
      <c r="W484" s="11">
        <v>145</v>
      </c>
      <c r="X484" s="14">
        <f t="shared" ref="X484:X514" si="90">P484*W484</f>
        <v>6629.4</v>
      </c>
      <c r="Y484" s="15">
        <v>260</v>
      </c>
      <c r="Z484" s="15">
        <f t="shared" ref="Z484:Z514" si="91">P484*Y484</f>
        <v>11887.199999999999</v>
      </c>
      <c r="AA484" s="13">
        <f t="shared" ref="AA484:AA514" si="92">R484+X484+Z484</f>
        <v>33832.799999999996</v>
      </c>
    </row>
    <row r="485" spans="1:27" s="28" customFormat="1" x14ac:dyDescent="0.3">
      <c r="A485" s="18">
        <v>484</v>
      </c>
      <c r="B485" s="8">
        <v>46294</v>
      </c>
      <c r="C485" s="8">
        <v>46294</v>
      </c>
      <c r="D485" s="72">
        <v>260921113013</v>
      </c>
      <c r="E485" s="22" t="s">
        <v>1054</v>
      </c>
      <c r="F485" s="9" t="s">
        <v>1055</v>
      </c>
      <c r="G485" s="9">
        <v>46</v>
      </c>
      <c r="H485" s="37">
        <v>140</v>
      </c>
      <c r="I485" s="26" t="s">
        <v>187</v>
      </c>
      <c r="J485" s="6" t="s">
        <v>23</v>
      </c>
      <c r="K485" s="26" t="s">
        <v>30</v>
      </c>
      <c r="L485" s="48" t="s">
        <v>395</v>
      </c>
      <c r="M485" s="9" t="s">
        <v>31</v>
      </c>
      <c r="N485" s="9">
        <v>63</v>
      </c>
      <c r="O485" s="9">
        <v>16.48</v>
      </c>
      <c r="P485" s="52">
        <f t="shared" ref="P485:P514" si="93">N485-O485</f>
        <v>46.519999999999996</v>
      </c>
      <c r="Q485" s="11">
        <v>575</v>
      </c>
      <c r="R485" s="12">
        <f t="shared" si="80"/>
        <v>26748.999999999996</v>
      </c>
      <c r="S485" s="11"/>
      <c r="T485" s="13"/>
      <c r="V485" s="19" t="s">
        <v>24</v>
      </c>
      <c r="W485" s="11">
        <v>145</v>
      </c>
      <c r="X485" s="14">
        <f t="shared" si="90"/>
        <v>6745.4</v>
      </c>
      <c r="Y485" s="15">
        <v>180</v>
      </c>
      <c r="Z485" s="15">
        <f t="shared" si="91"/>
        <v>8373.5999999999985</v>
      </c>
      <c r="AA485" s="13">
        <f t="shared" si="92"/>
        <v>41867.999999999993</v>
      </c>
    </row>
    <row r="486" spans="1:27" s="16" customFormat="1" x14ac:dyDescent="0.3">
      <c r="A486" s="18">
        <v>485</v>
      </c>
      <c r="B486" s="8">
        <v>46294</v>
      </c>
      <c r="C486" s="8">
        <v>46294</v>
      </c>
      <c r="D486" s="72">
        <v>260921113014</v>
      </c>
      <c r="E486" s="22" t="s">
        <v>1056</v>
      </c>
      <c r="F486" s="9" t="s">
        <v>1057</v>
      </c>
      <c r="G486" s="9">
        <v>41</v>
      </c>
      <c r="H486" s="41">
        <v>96</v>
      </c>
      <c r="I486" s="55" t="s">
        <v>727</v>
      </c>
      <c r="J486" s="56" t="s">
        <v>23</v>
      </c>
      <c r="K486" s="42" t="s">
        <v>30</v>
      </c>
      <c r="L486" s="48" t="s">
        <v>82</v>
      </c>
      <c r="M486" s="9" t="s">
        <v>1058</v>
      </c>
      <c r="N486" s="9">
        <v>56.64</v>
      </c>
      <c r="O486" s="9">
        <v>15.28</v>
      </c>
      <c r="P486" s="52">
        <f t="shared" si="93"/>
        <v>41.36</v>
      </c>
      <c r="Q486" s="11">
        <v>430</v>
      </c>
      <c r="R486" s="12">
        <f t="shared" si="80"/>
        <v>17784.8</v>
      </c>
      <c r="S486" s="11"/>
      <c r="T486" s="13"/>
      <c r="V486" s="19" t="s">
        <v>54</v>
      </c>
      <c r="W486" s="11">
        <v>150</v>
      </c>
      <c r="X486" s="14">
        <f t="shared" si="90"/>
        <v>6204</v>
      </c>
      <c r="Y486" s="15"/>
      <c r="Z486" s="15">
        <f t="shared" si="91"/>
        <v>0</v>
      </c>
      <c r="AA486" s="13">
        <f t="shared" si="92"/>
        <v>23988.799999999999</v>
      </c>
    </row>
    <row r="487" spans="1:27" s="16" customFormat="1" x14ac:dyDescent="0.3">
      <c r="A487" s="18">
        <v>486</v>
      </c>
      <c r="B487" s="8">
        <v>46294</v>
      </c>
      <c r="C487" s="8">
        <v>46294</v>
      </c>
      <c r="D487" s="72">
        <v>260921113015</v>
      </c>
      <c r="E487" s="22" t="s">
        <v>1059</v>
      </c>
      <c r="F487" s="9" t="s">
        <v>1060</v>
      </c>
      <c r="G487" s="9">
        <v>41</v>
      </c>
      <c r="H487" s="37">
        <v>140</v>
      </c>
      <c r="I487" s="26" t="s">
        <v>187</v>
      </c>
      <c r="J487" s="6" t="s">
        <v>23</v>
      </c>
      <c r="K487" s="26" t="s">
        <v>30</v>
      </c>
      <c r="L487" s="9" t="s">
        <v>324</v>
      </c>
      <c r="M487" s="9" t="s">
        <v>31</v>
      </c>
      <c r="N487" s="9">
        <v>56.62</v>
      </c>
      <c r="O487" s="9">
        <v>15.5</v>
      </c>
      <c r="P487" s="52">
        <f t="shared" si="93"/>
        <v>41.12</v>
      </c>
      <c r="Q487" s="11">
        <v>575</v>
      </c>
      <c r="R487" s="12">
        <f t="shared" si="80"/>
        <v>23644</v>
      </c>
      <c r="S487" s="11"/>
      <c r="T487" s="13"/>
      <c r="V487" s="19" t="s">
        <v>24</v>
      </c>
      <c r="W487" s="11">
        <v>145</v>
      </c>
      <c r="X487" s="14">
        <f t="shared" si="90"/>
        <v>5962.4</v>
      </c>
      <c r="Y487" s="15">
        <v>180</v>
      </c>
      <c r="Z487" s="15">
        <f t="shared" si="91"/>
        <v>7401.5999999999995</v>
      </c>
      <c r="AA487" s="13">
        <f t="shared" si="92"/>
        <v>37008</v>
      </c>
    </row>
    <row r="488" spans="1:27" s="28" customFormat="1" x14ac:dyDescent="0.3">
      <c r="A488" s="18">
        <v>487</v>
      </c>
      <c r="B488" s="8">
        <v>46294</v>
      </c>
      <c r="C488" s="8">
        <v>46294</v>
      </c>
      <c r="D488" s="72">
        <v>260921113016</v>
      </c>
      <c r="E488" s="22" t="s">
        <v>1061</v>
      </c>
      <c r="F488" s="9" t="s">
        <v>1062</v>
      </c>
      <c r="G488" s="9"/>
      <c r="H488" s="37">
        <v>136</v>
      </c>
      <c r="I488" s="39" t="s">
        <v>69</v>
      </c>
      <c r="J488" s="36" t="s">
        <v>23</v>
      </c>
      <c r="K488" s="26" t="s">
        <v>30</v>
      </c>
      <c r="L488" s="48" t="s">
        <v>329</v>
      </c>
      <c r="M488" s="9" t="s">
        <v>748</v>
      </c>
      <c r="N488" s="9">
        <v>60.36</v>
      </c>
      <c r="O488" s="9">
        <v>15.84</v>
      </c>
      <c r="P488" s="52">
        <f t="shared" si="93"/>
        <v>44.519999999999996</v>
      </c>
      <c r="Q488" s="11">
        <v>260</v>
      </c>
      <c r="R488" s="12">
        <f t="shared" si="80"/>
        <v>11575.199999999999</v>
      </c>
      <c r="S488" s="11"/>
      <c r="T488" s="13"/>
      <c r="V488" s="19" t="s">
        <v>24</v>
      </c>
      <c r="W488" s="11"/>
      <c r="X488" s="14">
        <f t="shared" si="90"/>
        <v>0</v>
      </c>
      <c r="Y488" s="15">
        <v>115</v>
      </c>
      <c r="Z488" s="15">
        <f t="shared" si="91"/>
        <v>5119.7999999999993</v>
      </c>
      <c r="AA488" s="13">
        <f t="shared" si="92"/>
        <v>16695</v>
      </c>
    </row>
    <row r="489" spans="1:27" s="16" customFormat="1" x14ac:dyDescent="0.3">
      <c r="A489" s="18">
        <v>488</v>
      </c>
      <c r="B489" s="8">
        <v>46294</v>
      </c>
      <c r="C489" s="8">
        <v>46294</v>
      </c>
      <c r="D489" s="72">
        <v>260921113017</v>
      </c>
      <c r="E489" s="22" t="s">
        <v>1063</v>
      </c>
      <c r="F489" s="9" t="s">
        <v>1064</v>
      </c>
      <c r="G489" s="9">
        <v>41</v>
      </c>
      <c r="H489" s="37">
        <v>140</v>
      </c>
      <c r="I489" s="26" t="s">
        <v>187</v>
      </c>
      <c r="J489" s="6" t="s">
        <v>23</v>
      </c>
      <c r="K489" s="26" t="s">
        <v>30</v>
      </c>
      <c r="L489" s="9" t="s">
        <v>132</v>
      </c>
      <c r="M489" s="9" t="s">
        <v>31</v>
      </c>
      <c r="N489" s="9">
        <v>57.7</v>
      </c>
      <c r="O489" s="9">
        <v>15.8</v>
      </c>
      <c r="P489" s="52">
        <f t="shared" si="93"/>
        <v>41.900000000000006</v>
      </c>
      <c r="Q489" s="11">
        <v>575</v>
      </c>
      <c r="R489" s="12">
        <f t="shared" si="80"/>
        <v>24092.500000000004</v>
      </c>
      <c r="S489" s="11"/>
      <c r="T489" s="13"/>
      <c r="V489" s="19" t="s">
        <v>24</v>
      </c>
      <c r="W489" s="11">
        <v>145</v>
      </c>
      <c r="X489" s="14">
        <f t="shared" si="90"/>
        <v>6075.5000000000009</v>
      </c>
      <c r="Y489" s="15">
        <v>180</v>
      </c>
      <c r="Z489" s="15">
        <f t="shared" si="91"/>
        <v>7542.0000000000009</v>
      </c>
      <c r="AA489" s="13">
        <f t="shared" si="92"/>
        <v>37710.000000000007</v>
      </c>
    </row>
    <row r="490" spans="1:27" s="16" customFormat="1" x14ac:dyDescent="0.3">
      <c r="A490" s="18">
        <v>489</v>
      </c>
      <c r="B490" s="8">
        <v>46294</v>
      </c>
      <c r="C490" s="8">
        <v>46294</v>
      </c>
      <c r="D490" s="72">
        <v>260921113018</v>
      </c>
      <c r="E490" s="22" t="s">
        <v>1065</v>
      </c>
      <c r="F490" s="9" t="s">
        <v>1066</v>
      </c>
      <c r="G490" s="9">
        <v>44</v>
      </c>
      <c r="H490" s="37">
        <v>130</v>
      </c>
      <c r="I490" s="26" t="s">
        <v>344</v>
      </c>
      <c r="J490" s="36" t="s">
        <v>23</v>
      </c>
      <c r="K490" s="26" t="s">
        <v>30</v>
      </c>
      <c r="L490" s="9" t="s">
        <v>936</v>
      </c>
      <c r="M490" s="9" t="s">
        <v>31</v>
      </c>
      <c r="N490" s="9">
        <v>60.42</v>
      </c>
      <c r="O490" s="9">
        <v>16.100000000000001</v>
      </c>
      <c r="P490" s="52">
        <f t="shared" si="93"/>
        <v>44.32</v>
      </c>
      <c r="Q490" s="11">
        <v>520</v>
      </c>
      <c r="R490" s="12">
        <f t="shared" si="80"/>
        <v>23046.400000000001</v>
      </c>
      <c r="S490" s="11"/>
      <c r="T490" s="13"/>
      <c r="V490" s="19" t="s">
        <v>181</v>
      </c>
      <c r="W490" s="11">
        <v>150</v>
      </c>
      <c r="X490" s="14">
        <f t="shared" si="90"/>
        <v>6648</v>
      </c>
      <c r="Y490" s="15"/>
      <c r="Z490" s="15">
        <f t="shared" si="91"/>
        <v>0</v>
      </c>
      <c r="AA490" s="13">
        <f t="shared" si="92"/>
        <v>29694.400000000001</v>
      </c>
    </row>
    <row r="491" spans="1:27" s="16" customFormat="1" x14ac:dyDescent="0.3">
      <c r="A491" s="18">
        <v>490</v>
      </c>
      <c r="B491" s="8">
        <v>46294</v>
      </c>
      <c r="C491" s="8">
        <v>46294</v>
      </c>
      <c r="D491" s="72" t="s">
        <v>1067</v>
      </c>
      <c r="E491" s="22"/>
      <c r="F491" s="9"/>
      <c r="G491" s="9"/>
      <c r="H491" s="32"/>
      <c r="I491" s="31" t="s">
        <v>333</v>
      </c>
      <c r="J491" s="36" t="s">
        <v>23</v>
      </c>
      <c r="K491" s="26" t="s">
        <v>30</v>
      </c>
      <c r="L491" s="9" t="s">
        <v>43</v>
      </c>
      <c r="M491" s="9" t="s">
        <v>34</v>
      </c>
      <c r="N491" s="9">
        <v>37.18</v>
      </c>
      <c r="O491" s="9">
        <v>14.32</v>
      </c>
      <c r="P491" s="52">
        <f t="shared" si="93"/>
        <v>22.86</v>
      </c>
      <c r="Q491" s="11">
        <v>0</v>
      </c>
      <c r="R491" s="12">
        <f t="shared" si="80"/>
        <v>0</v>
      </c>
      <c r="S491" s="11"/>
      <c r="T491" s="13"/>
      <c r="V491" s="19" t="s">
        <v>24</v>
      </c>
      <c r="W491" s="11"/>
      <c r="X491" s="14">
        <f t="shared" si="90"/>
        <v>0</v>
      </c>
      <c r="Y491" s="15"/>
      <c r="Z491" s="15">
        <f t="shared" si="91"/>
        <v>0</v>
      </c>
      <c r="AA491" s="13">
        <f t="shared" si="92"/>
        <v>0</v>
      </c>
    </row>
    <row r="492" spans="1:27" s="16" customFormat="1" x14ac:dyDescent="0.3">
      <c r="A492" s="18">
        <v>491</v>
      </c>
      <c r="B492" s="8">
        <v>46294</v>
      </c>
      <c r="C492" s="8">
        <v>46294</v>
      </c>
      <c r="D492" s="72" t="s">
        <v>1068</v>
      </c>
      <c r="E492" s="22"/>
      <c r="F492" s="9"/>
      <c r="G492" s="9"/>
      <c r="H492" s="32"/>
      <c r="I492" s="31" t="s">
        <v>333</v>
      </c>
      <c r="J492" s="36" t="s">
        <v>23</v>
      </c>
      <c r="K492" s="26" t="s">
        <v>30</v>
      </c>
      <c r="L492" s="9" t="s">
        <v>45</v>
      </c>
      <c r="M492" s="9" t="s">
        <v>34</v>
      </c>
      <c r="N492" s="9">
        <v>35.56</v>
      </c>
      <c r="O492" s="9">
        <v>13.4</v>
      </c>
      <c r="P492" s="52">
        <f t="shared" si="93"/>
        <v>22.160000000000004</v>
      </c>
      <c r="Q492" s="11">
        <v>0</v>
      </c>
      <c r="R492" s="12">
        <f t="shared" si="80"/>
        <v>0</v>
      </c>
      <c r="S492" s="11"/>
      <c r="T492" s="13"/>
      <c r="V492" s="19" t="s">
        <v>24</v>
      </c>
      <c r="W492" s="11"/>
      <c r="X492" s="14">
        <f t="shared" si="90"/>
        <v>0</v>
      </c>
      <c r="Y492" s="15"/>
      <c r="Z492" s="15">
        <f t="shared" si="91"/>
        <v>0</v>
      </c>
      <c r="AA492" s="13">
        <f t="shared" si="92"/>
        <v>0</v>
      </c>
    </row>
    <row r="493" spans="1:27" s="16" customFormat="1" x14ac:dyDescent="0.3">
      <c r="A493" s="18">
        <v>492</v>
      </c>
      <c r="B493" s="8">
        <v>46294</v>
      </c>
      <c r="C493" s="8">
        <v>46294</v>
      </c>
      <c r="D493" s="72">
        <v>260921113019</v>
      </c>
      <c r="E493" s="22" t="s">
        <v>1069</v>
      </c>
      <c r="F493" s="9" t="s">
        <v>1070</v>
      </c>
      <c r="G493" s="9"/>
      <c r="H493" s="37">
        <v>136</v>
      </c>
      <c r="I493" s="39" t="s">
        <v>69</v>
      </c>
      <c r="J493" s="36" t="s">
        <v>23</v>
      </c>
      <c r="K493" s="26" t="s">
        <v>30</v>
      </c>
      <c r="L493" s="48" t="s">
        <v>97</v>
      </c>
      <c r="M493" s="9" t="s">
        <v>748</v>
      </c>
      <c r="N493" s="9">
        <v>51.52</v>
      </c>
      <c r="O493" s="9">
        <v>13.72</v>
      </c>
      <c r="P493" s="52">
        <f t="shared" si="93"/>
        <v>37.800000000000004</v>
      </c>
      <c r="Q493" s="11">
        <v>260</v>
      </c>
      <c r="R493" s="12">
        <f t="shared" si="80"/>
        <v>9828.0000000000018</v>
      </c>
      <c r="S493" s="11"/>
      <c r="T493" s="13"/>
      <c r="V493" s="19" t="s">
        <v>24</v>
      </c>
      <c r="W493" s="11"/>
      <c r="X493" s="14">
        <f t="shared" si="90"/>
        <v>0</v>
      </c>
      <c r="Y493" s="15">
        <v>115</v>
      </c>
      <c r="Z493" s="15">
        <f t="shared" si="91"/>
        <v>4347.0000000000009</v>
      </c>
      <c r="AA493" s="13">
        <f t="shared" si="92"/>
        <v>14175.000000000004</v>
      </c>
    </row>
    <row r="494" spans="1:27" s="16" customFormat="1" x14ac:dyDescent="0.3">
      <c r="A494" s="18">
        <v>493</v>
      </c>
      <c r="B494" s="8">
        <v>46294</v>
      </c>
      <c r="C494" s="8">
        <v>46294</v>
      </c>
      <c r="D494" s="72">
        <v>260921113020</v>
      </c>
      <c r="E494" s="22" t="s">
        <v>1071</v>
      </c>
      <c r="F494" s="9" t="s">
        <v>1072</v>
      </c>
      <c r="G494" s="9">
        <v>44</v>
      </c>
      <c r="H494" s="37">
        <v>130</v>
      </c>
      <c r="I494" s="26" t="s">
        <v>344</v>
      </c>
      <c r="J494" s="36" t="s">
        <v>23</v>
      </c>
      <c r="K494" s="26" t="s">
        <v>30</v>
      </c>
      <c r="L494" s="9" t="s">
        <v>580</v>
      </c>
      <c r="M494" s="9" t="s">
        <v>31</v>
      </c>
      <c r="N494" s="9">
        <v>60.4</v>
      </c>
      <c r="O494" s="9">
        <v>16.18</v>
      </c>
      <c r="P494" s="52">
        <f t="shared" si="93"/>
        <v>44.22</v>
      </c>
      <c r="Q494" s="11">
        <v>520</v>
      </c>
      <c r="R494" s="12">
        <f t="shared" si="80"/>
        <v>22994.399999999998</v>
      </c>
      <c r="S494" s="11"/>
      <c r="T494" s="13"/>
      <c r="V494" s="19" t="s">
        <v>181</v>
      </c>
      <c r="W494" s="11">
        <v>150</v>
      </c>
      <c r="X494" s="14">
        <f t="shared" si="90"/>
        <v>6633</v>
      </c>
      <c r="Y494" s="15"/>
      <c r="Z494" s="15">
        <f t="shared" si="91"/>
        <v>0</v>
      </c>
      <c r="AA494" s="13">
        <f t="shared" si="92"/>
        <v>29627.399999999998</v>
      </c>
    </row>
    <row r="495" spans="1:27" s="16" customFormat="1" x14ac:dyDescent="0.3">
      <c r="A495" s="18">
        <v>494</v>
      </c>
      <c r="B495" s="8">
        <v>46294</v>
      </c>
      <c r="C495" s="8">
        <v>46294</v>
      </c>
      <c r="D495" s="72">
        <v>260921113021</v>
      </c>
      <c r="E495" s="22" t="s">
        <v>1073</v>
      </c>
      <c r="F495" s="9" t="s">
        <v>1074</v>
      </c>
      <c r="G495" s="9"/>
      <c r="H495" s="37">
        <v>136</v>
      </c>
      <c r="I495" s="39" t="s">
        <v>69</v>
      </c>
      <c r="J495" s="36" t="s">
        <v>23</v>
      </c>
      <c r="K495" s="26" t="s">
        <v>30</v>
      </c>
      <c r="L495" s="48" t="s">
        <v>329</v>
      </c>
      <c r="M495" s="9" t="s">
        <v>748</v>
      </c>
      <c r="N495" s="9">
        <v>61.7</v>
      </c>
      <c r="O495" s="9">
        <v>15.88</v>
      </c>
      <c r="P495" s="52">
        <f t="shared" si="93"/>
        <v>45.82</v>
      </c>
      <c r="Q495" s="11">
        <v>260</v>
      </c>
      <c r="R495" s="12">
        <f t="shared" si="80"/>
        <v>11913.2</v>
      </c>
      <c r="S495" s="11"/>
      <c r="T495" s="13"/>
      <c r="V495" s="19" t="s">
        <v>24</v>
      </c>
      <c r="W495" s="11"/>
      <c r="X495" s="14">
        <f t="shared" si="90"/>
        <v>0</v>
      </c>
      <c r="Y495" s="15">
        <v>115</v>
      </c>
      <c r="Z495" s="15">
        <f t="shared" si="91"/>
        <v>5269.3</v>
      </c>
      <c r="AA495" s="13">
        <f t="shared" si="92"/>
        <v>17182.5</v>
      </c>
    </row>
    <row r="496" spans="1:27" s="16" customFormat="1" x14ac:dyDescent="0.3">
      <c r="A496" s="18">
        <v>495</v>
      </c>
      <c r="B496" s="8">
        <v>46294</v>
      </c>
      <c r="C496" s="8">
        <v>46294</v>
      </c>
      <c r="D496" s="72">
        <v>260921113022</v>
      </c>
      <c r="E496" s="22" t="s">
        <v>1075</v>
      </c>
      <c r="F496" s="9" t="s">
        <v>1076</v>
      </c>
      <c r="G496" s="9"/>
      <c r="H496" s="37">
        <v>136</v>
      </c>
      <c r="I496" s="39" t="s">
        <v>69</v>
      </c>
      <c r="J496" s="36" t="s">
        <v>23</v>
      </c>
      <c r="K496" s="26" t="s">
        <v>30</v>
      </c>
      <c r="L496" s="48" t="s">
        <v>111</v>
      </c>
      <c r="M496" s="9" t="s">
        <v>748</v>
      </c>
      <c r="N496" s="9">
        <v>47.3</v>
      </c>
      <c r="O496" s="9">
        <v>11.66</v>
      </c>
      <c r="P496" s="52">
        <f t="shared" si="93"/>
        <v>35.64</v>
      </c>
      <c r="Q496" s="11">
        <v>260</v>
      </c>
      <c r="R496" s="12">
        <f t="shared" si="80"/>
        <v>9266.4</v>
      </c>
      <c r="S496" s="11"/>
      <c r="T496" s="13"/>
      <c r="V496" s="19" t="s">
        <v>24</v>
      </c>
      <c r="W496" s="11"/>
      <c r="X496" s="14">
        <f t="shared" si="90"/>
        <v>0</v>
      </c>
      <c r="Y496" s="15">
        <v>115</v>
      </c>
      <c r="Z496" s="15">
        <f t="shared" si="91"/>
        <v>4098.6000000000004</v>
      </c>
      <c r="AA496" s="13">
        <f t="shared" si="92"/>
        <v>13365</v>
      </c>
    </row>
    <row r="497" spans="1:27" s="16" customFormat="1" x14ac:dyDescent="0.3">
      <c r="A497" s="18">
        <v>496</v>
      </c>
      <c r="B497" s="8">
        <v>46294</v>
      </c>
      <c r="C497" s="8">
        <v>46294</v>
      </c>
      <c r="D497" s="73">
        <v>260921113023</v>
      </c>
      <c r="E497" s="22" t="s">
        <v>1077</v>
      </c>
      <c r="F497" s="9" t="s">
        <v>1078</v>
      </c>
      <c r="G497" s="9"/>
      <c r="H497" s="37">
        <v>136</v>
      </c>
      <c r="I497" s="39" t="s">
        <v>69</v>
      </c>
      <c r="J497" s="36" t="s">
        <v>23</v>
      </c>
      <c r="K497" s="26" t="s">
        <v>30</v>
      </c>
      <c r="L497" s="48" t="s">
        <v>123</v>
      </c>
      <c r="M497" s="9" t="s">
        <v>748</v>
      </c>
      <c r="N497" s="9">
        <v>61.92</v>
      </c>
      <c r="O497" s="9">
        <v>15.98</v>
      </c>
      <c r="P497" s="52">
        <f t="shared" si="93"/>
        <v>45.94</v>
      </c>
      <c r="Q497" s="11">
        <v>260</v>
      </c>
      <c r="R497" s="12">
        <f t="shared" si="80"/>
        <v>11944.4</v>
      </c>
      <c r="S497" s="11"/>
      <c r="T497" s="13"/>
      <c r="V497" s="19" t="s">
        <v>24</v>
      </c>
      <c r="W497" s="11"/>
      <c r="X497" s="14">
        <f t="shared" si="90"/>
        <v>0</v>
      </c>
      <c r="Y497" s="15">
        <v>115</v>
      </c>
      <c r="Z497" s="15">
        <f t="shared" si="91"/>
        <v>5283.0999999999995</v>
      </c>
      <c r="AA497" s="13">
        <f t="shared" si="92"/>
        <v>17227.5</v>
      </c>
    </row>
    <row r="498" spans="1:27" s="16" customFormat="1" x14ac:dyDescent="0.3">
      <c r="A498" s="18">
        <v>497</v>
      </c>
      <c r="B498" s="8">
        <v>46294</v>
      </c>
      <c r="C498" s="8">
        <v>46294</v>
      </c>
      <c r="D498" s="70">
        <v>2609291113024</v>
      </c>
      <c r="E498" s="22" t="s">
        <v>1079</v>
      </c>
      <c r="F498" s="9" t="s">
        <v>1080</v>
      </c>
      <c r="G498" s="9">
        <v>40</v>
      </c>
      <c r="H498" s="37">
        <v>130</v>
      </c>
      <c r="I498" s="26" t="s">
        <v>344</v>
      </c>
      <c r="J498" s="36" t="s">
        <v>23</v>
      </c>
      <c r="K498" s="26" t="s">
        <v>30</v>
      </c>
      <c r="L498" s="9" t="s">
        <v>345</v>
      </c>
      <c r="M498" s="9" t="s">
        <v>108</v>
      </c>
      <c r="N498" s="9">
        <v>56.38</v>
      </c>
      <c r="O498" s="9">
        <v>15.64</v>
      </c>
      <c r="P498" s="52">
        <f t="shared" si="93"/>
        <v>40.74</v>
      </c>
      <c r="Q498" s="11">
        <v>300</v>
      </c>
      <c r="R498" s="12">
        <f t="shared" si="80"/>
        <v>12222</v>
      </c>
      <c r="S498" s="11"/>
      <c r="T498" s="13"/>
      <c r="V498" s="19" t="s">
        <v>181</v>
      </c>
      <c r="W498" s="11">
        <v>150</v>
      </c>
      <c r="X498" s="14">
        <f t="shared" si="90"/>
        <v>6111</v>
      </c>
      <c r="Y498" s="15"/>
      <c r="Z498" s="15">
        <f t="shared" si="91"/>
        <v>0</v>
      </c>
      <c r="AA498" s="13">
        <f t="shared" si="92"/>
        <v>18333</v>
      </c>
    </row>
    <row r="499" spans="1:27" s="16" customFormat="1" x14ac:dyDescent="0.3">
      <c r="A499" s="18">
        <v>498</v>
      </c>
      <c r="B499" s="8">
        <v>46294</v>
      </c>
      <c r="C499" s="8">
        <v>46294</v>
      </c>
      <c r="D499" s="65">
        <v>2609291113025</v>
      </c>
      <c r="E499" s="22" t="s">
        <v>1081</v>
      </c>
      <c r="F499" s="9" t="s">
        <v>1082</v>
      </c>
      <c r="G499" s="9"/>
      <c r="H499" s="37">
        <v>136</v>
      </c>
      <c r="I499" s="39" t="s">
        <v>69</v>
      </c>
      <c r="J499" s="36" t="s">
        <v>23</v>
      </c>
      <c r="K499" s="26" t="s">
        <v>30</v>
      </c>
      <c r="L499" s="48" t="s">
        <v>287</v>
      </c>
      <c r="M499" s="9" t="s">
        <v>748</v>
      </c>
      <c r="N499" s="9">
        <v>57.04</v>
      </c>
      <c r="O499" s="9">
        <v>15.98</v>
      </c>
      <c r="P499" s="52">
        <f t="shared" si="93"/>
        <v>41.06</v>
      </c>
      <c r="Q499" s="11">
        <v>260</v>
      </c>
      <c r="R499" s="12">
        <f t="shared" si="80"/>
        <v>10675.6</v>
      </c>
      <c r="S499" s="11"/>
      <c r="T499" s="13"/>
      <c r="V499" s="19" t="s">
        <v>24</v>
      </c>
      <c r="W499" s="11"/>
      <c r="X499" s="14">
        <f t="shared" si="90"/>
        <v>0</v>
      </c>
      <c r="Y499" s="15">
        <v>115</v>
      </c>
      <c r="Z499" s="15">
        <f t="shared" si="91"/>
        <v>4721.9000000000005</v>
      </c>
      <c r="AA499" s="13">
        <f t="shared" si="92"/>
        <v>15397.5</v>
      </c>
    </row>
    <row r="500" spans="1:27" s="16" customFormat="1" x14ac:dyDescent="0.3">
      <c r="A500" s="18">
        <v>499</v>
      </c>
      <c r="B500" s="8">
        <v>46294</v>
      </c>
      <c r="C500" s="8">
        <v>46294</v>
      </c>
      <c r="D500" s="65">
        <v>2609291113026</v>
      </c>
      <c r="E500" s="22" t="s">
        <v>1083</v>
      </c>
      <c r="F500" s="9" t="s">
        <v>1084</v>
      </c>
      <c r="G500" s="9">
        <v>47</v>
      </c>
      <c r="H500" s="37">
        <v>130</v>
      </c>
      <c r="I500" s="26" t="s">
        <v>344</v>
      </c>
      <c r="J500" s="36" t="s">
        <v>23</v>
      </c>
      <c r="K500" s="26" t="s">
        <v>30</v>
      </c>
      <c r="L500" s="9" t="s">
        <v>580</v>
      </c>
      <c r="M500" s="9" t="s">
        <v>31</v>
      </c>
      <c r="N500" s="9">
        <v>63.54</v>
      </c>
      <c r="O500" s="9">
        <v>16.14</v>
      </c>
      <c r="P500" s="52">
        <f t="shared" si="93"/>
        <v>47.4</v>
      </c>
      <c r="Q500" s="11">
        <v>520</v>
      </c>
      <c r="R500" s="12">
        <f t="shared" si="80"/>
        <v>24648</v>
      </c>
      <c r="S500" s="11"/>
      <c r="T500" s="13"/>
      <c r="V500" s="19" t="s">
        <v>181</v>
      </c>
      <c r="W500" s="11">
        <v>150</v>
      </c>
      <c r="X500" s="14">
        <f t="shared" si="90"/>
        <v>7110</v>
      </c>
      <c r="Y500" s="15"/>
      <c r="Z500" s="15">
        <f t="shared" si="91"/>
        <v>0</v>
      </c>
      <c r="AA500" s="13">
        <f t="shared" si="92"/>
        <v>31758</v>
      </c>
    </row>
    <row r="501" spans="1:27" s="16" customFormat="1" x14ac:dyDescent="0.3">
      <c r="A501" s="18">
        <v>500</v>
      </c>
      <c r="B501" s="8">
        <v>46294</v>
      </c>
      <c r="C501" s="8">
        <v>46294</v>
      </c>
      <c r="D501" s="65">
        <v>2609291113027</v>
      </c>
      <c r="E501" s="22" t="s">
        <v>1085</v>
      </c>
      <c r="F501" s="9" t="s">
        <v>1086</v>
      </c>
      <c r="G501" s="9">
        <v>46</v>
      </c>
      <c r="H501" s="37">
        <v>130</v>
      </c>
      <c r="I501" s="26" t="s">
        <v>344</v>
      </c>
      <c r="J501" s="36" t="s">
        <v>23</v>
      </c>
      <c r="K501" s="26" t="s">
        <v>30</v>
      </c>
      <c r="L501" s="48" t="s">
        <v>936</v>
      </c>
      <c r="M501" s="9" t="s">
        <v>31</v>
      </c>
      <c r="N501" s="9">
        <v>62.96</v>
      </c>
      <c r="O501" s="9">
        <v>16.239999999999998</v>
      </c>
      <c r="P501" s="52">
        <f t="shared" si="93"/>
        <v>46.72</v>
      </c>
      <c r="Q501" s="11">
        <v>520</v>
      </c>
      <c r="R501" s="12">
        <f t="shared" si="80"/>
        <v>24294.399999999998</v>
      </c>
      <c r="S501" s="11"/>
      <c r="T501" s="13"/>
      <c r="V501" s="19" t="s">
        <v>181</v>
      </c>
      <c r="W501" s="11">
        <v>150</v>
      </c>
      <c r="X501" s="14">
        <f t="shared" si="90"/>
        <v>7008</v>
      </c>
      <c r="Y501" s="15"/>
      <c r="Z501" s="15">
        <f t="shared" si="91"/>
        <v>0</v>
      </c>
      <c r="AA501" s="13">
        <f t="shared" si="92"/>
        <v>31302.399999999998</v>
      </c>
    </row>
    <row r="502" spans="1:27" s="16" customFormat="1" x14ac:dyDescent="0.3">
      <c r="A502" s="18">
        <v>501</v>
      </c>
      <c r="B502" s="8">
        <v>46294</v>
      </c>
      <c r="C502" s="8">
        <v>46294</v>
      </c>
      <c r="D502" s="65">
        <v>2609291113028</v>
      </c>
      <c r="E502" s="22" t="s">
        <v>1087</v>
      </c>
      <c r="F502" s="9" t="s">
        <v>1088</v>
      </c>
      <c r="G502" s="9"/>
      <c r="H502" s="37">
        <v>136</v>
      </c>
      <c r="I502" s="39" t="s">
        <v>69</v>
      </c>
      <c r="J502" s="36" t="s">
        <v>23</v>
      </c>
      <c r="K502" s="26" t="s">
        <v>30</v>
      </c>
      <c r="L502" s="48" t="s">
        <v>329</v>
      </c>
      <c r="M502" s="9" t="s">
        <v>748</v>
      </c>
      <c r="N502" s="9">
        <v>60.04</v>
      </c>
      <c r="O502" s="9">
        <v>15.92</v>
      </c>
      <c r="P502" s="52">
        <f t="shared" si="93"/>
        <v>44.12</v>
      </c>
      <c r="Q502" s="11">
        <v>260</v>
      </c>
      <c r="R502" s="12">
        <f t="shared" si="80"/>
        <v>11471.199999999999</v>
      </c>
      <c r="S502" s="11"/>
      <c r="T502" s="13"/>
      <c r="V502" s="19" t="s">
        <v>24</v>
      </c>
      <c r="W502" s="11"/>
      <c r="X502" s="14">
        <f t="shared" si="90"/>
        <v>0</v>
      </c>
      <c r="Y502" s="15">
        <v>115</v>
      </c>
      <c r="Z502" s="15">
        <f t="shared" si="91"/>
        <v>5073.7999999999993</v>
      </c>
      <c r="AA502" s="13">
        <f t="shared" si="92"/>
        <v>16545</v>
      </c>
    </row>
    <row r="503" spans="1:27" s="16" customFormat="1" x14ac:dyDescent="0.3">
      <c r="A503" s="18">
        <v>502</v>
      </c>
      <c r="B503" s="8">
        <v>46294</v>
      </c>
      <c r="C503" s="8">
        <v>46295</v>
      </c>
      <c r="D503" s="65">
        <v>2609301113001</v>
      </c>
      <c r="E503" s="22"/>
      <c r="F503" s="9" t="s">
        <v>1089</v>
      </c>
      <c r="G503" s="9">
        <v>42</v>
      </c>
      <c r="H503" s="41">
        <v>96</v>
      </c>
      <c r="I503" s="55" t="s">
        <v>727</v>
      </c>
      <c r="J503" s="56" t="s">
        <v>23</v>
      </c>
      <c r="K503" s="42" t="s">
        <v>30</v>
      </c>
      <c r="L503" s="9" t="s">
        <v>319</v>
      </c>
      <c r="M503" s="9" t="s">
        <v>31</v>
      </c>
      <c r="N503" s="9">
        <v>58.62</v>
      </c>
      <c r="O503" s="9">
        <v>15.86</v>
      </c>
      <c r="P503" s="52">
        <f t="shared" si="93"/>
        <v>42.76</v>
      </c>
      <c r="Q503" s="11">
        <v>520</v>
      </c>
      <c r="R503" s="12">
        <f t="shared" si="80"/>
        <v>22235.200000000001</v>
      </c>
      <c r="S503" s="11"/>
      <c r="T503" s="13"/>
      <c r="V503" s="19" t="s">
        <v>54</v>
      </c>
      <c r="W503" s="11">
        <v>145</v>
      </c>
      <c r="X503" s="14">
        <f t="shared" si="90"/>
        <v>6200.2</v>
      </c>
      <c r="Y503" s="15"/>
      <c r="Z503" s="15">
        <f t="shared" si="91"/>
        <v>0</v>
      </c>
      <c r="AA503" s="13">
        <f t="shared" si="92"/>
        <v>28435.4</v>
      </c>
    </row>
    <row r="504" spans="1:27" s="16" customFormat="1" x14ac:dyDescent="0.3">
      <c r="A504" s="18">
        <v>503</v>
      </c>
      <c r="B504" s="8">
        <v>46294</v>
      </c>
      <c r="C504" s="8">
        <v>46295</v>
      </c>
      <c r="D504" s="65">
        <v>2609301113002</v>
      </c>
      <c r="E504" s="22" t="s">
        <v>1090</v>
      </c>
      <c r="F504" s="9" t="s">
        <v>1091</v>
      </c>
      <c r="G504" s="9"/>
      <c r="H504" s="37">
        <v>136</v>
      </c>
      <c r="I504" s="39" t="s">
        <v>69</v>
      </c>
      <c r="J504" s="36" t="s">
        <v>23</v>
      </c>
      <c r="K504" s="26" t="s">
        <v>30</v>
      </c>
      <c r="L504" s="48" t="s">
        <v>1092</v>
      </c>
      <c r="M504" s="9" t="s">
        <v>748</v>
      </c>
      <c r="N504" s="9">
        <v>59.46</v>
      </c>
      <c r="O504" s="9">
        <v>16.04</v>
      </c>
      <c r="P504" s="52">
        <f t="shared" si="93"/>
        <v>43.42</v>
      </c>
      <c r="Q504" s="11">
        <v>260</v>
      </c>
      <c r="R504" s="12">
        <f t="shared" si="80"/>
        <v>11289.2</v>
      </c>
      <c r="S504" s="11"/>
      <c r="T504" s="13"/>
      <c r="V504" s="19" t="s">
        <v>24</v>
      </c>
      <c r="W504" s="11"/>
      <c r="X504" s="14">
        <f t="shared" si="90"/>
        <v>0</v>
      </c>
      <c r="Y504" s="15">
        <v>115</v>
      </c>
      <c r="Z504" s="15">
        <f t="shared" si="91"/>
        <v>4993.3</v>
      </c>
      <c r="AA504" s="13">
        <f t="shared" si="92"/>
        <v>16282.5</v>
      </c>
    </row>
    <row r="505" spans="1:27" s="16" customFormat="1" x14ac:dyDescent="0.3">
      <c r="A505" s="18">
        <v>504</v>
      </c>
      <c r="B505" s="8">
        <v>46294</v>
      </c>
      <c r="C505" s="8">
        <v>46295</v>
      </c>
      <c r="D505" s="65">
        <v>2609301113003</v>
      </c>
      <c r="E505" s="22" t="s">
        <v>1093</v>
      </c>
      <c r="F505" s="9" t="s">
        <v>1094</v>
      </c>
      <c r="G505" s="9"/>
      <c r="H505" s="37">
        <v>136</v>
      </c>
      <c r="I505" s="39" t="s">
        <v>69</v>
      </c>
      <c r="J505" s="36" t="s">
        <v>23</v>
      </c>
      <c r="K505" s="26" t="s">
        <v>30</v>
      </c>
      <c r="L505" s="48" t="s">
        <v>287</v>
      </c>
      <c r="M505" s="9" t="s">
        <v>748</v>
      </c>
      <c r="N505" s="9">
        <v>61.34</v>
      </c>
      <c r="O505" s="9">
        <v>16</v>
      </c>
      <c r="P505" s="52">
        <f t="shared" si="93"/>
        <v>45.34</v>
      </c>
      <c r="Q505" s="11">
        <v>260</v>
      </c>
      <c r="R505" s="12">
        <f t="shared" si="80"/>
        <v>11788.400000000001</v>
      </c>
      <c r="S505" s="11"/>
      <c r="T505" s="13"/>
      <c r="V505" s="19" t="s">
        <v>24</v>
      </c>
      <c r="W505" s="11"/>
      <c r="X505" s="14">
        <f t="shared" si="90"/>
        <v>0</v>
      </c>
      <c r="Y505" s="15">
        <v>115</v>
      </c>
      <c r="Z505" s="15">
        <f t="shared" si="91"/>
        <v>5214.1000000000004</v>
      </c>
      <c r="AA505" s="13">
        <f t="shared" si="92"/>
        <v>17002.5</v>
      </c>
    </row>
    <row r="506" spans="1:27" s="16" customFormat="1" x14ac:dyDescent="0.3">
      <c r="A506" s="18">
        <v>505</v>
      </c>
      <c r="B506" s="8">
        <v>46294</v>
      </c>
      <c r="C506" s="8">
        <v>46295</v>
      </c>
      <c r="D506" s="65">
        <v>2609301113004</v>
      </c>
      <c r="E506" s="22" t="s">
        <v>1095</v>
      </c>
      <c r="F506" s="9" t="s">
        <v>1096</v>
      </c>
      <c r="G506" s="9"/>
      <c r="H506" s="37">
        <v>136</v>
      </c>
      <c r="I506" s="39" t="s">
        <v>69</v>
      </c>
      <c r="J506" s="36" t="s">
        <v>23</v>
      </c>
      <c r="K506" s="26" t="s">
        <v>30</v>
      </c>
      <c r="L506" s="48" t="s">
        <v>123</v>
      </c>
      <c r="M506" s="9" t="s">
        <v>748</v>
      </c>
      <c r="N506" s="9">
        <v>60.56</v>
      </c>
      <c r="O506" s="9">
        <v>15.9</v>
      </c>
      <c r="P506" s="52">
        <f t="shared" si="93"/>
        <v>44.660000000000004</v>
      </c>
      <c r="Q506" s="11">
        <v>260</v>
      </c>
      <c r="R506" s="12">
        <f t="shared" si="80"/>
        <v>11611.6</v>
      </c>
      <c r="S506" s="11"/>
      <c r="T506" s="13"/>
      <c r="V506" s="19" t="s">
        <v>24</v>
      </c>
      <c r="W506" s="11"/>
      <c r="X506" s="14">
        <f t="shared" si="90"/>
        <v>0</v>
      </c>
      <c r="Y506" s="15">
        <v>115</v>
      </c>
      <c r="Z506" s="15">
        <f t="shared" si="91"/>
        <v>5135.9000000000005</v>
      </c>
      <c r="AA506" s="13">
        <f t="shared" si="92"/>
        <v>16747.5</v>
      </c>
    </row>
    <row r="507" spans="1:27" s="16" customFormat="1" x14ac:dyDescent="0.3">
      <c r="A507" s="18">
        <v>506</v>
      </c>
      <c r="B507" s="8">
        <v>46294</v>
      </c>
      <c r="C507" s="8">
        <v>46295</v>
      </c>
      <c r="D507" s="65">
        <v>2609301113005</v>
      </c>
      <c r="E507" s="22" t="s">
        <v>1097</v>
      </c>
      <c r="F507" s="9" t="s">
        <v>1098</v>
      </c>
      <c r="G507" s="9">
        <v>34</v>
      </c>
      <c r="H507" s="43">
        <v>42</v>
      </c>
      <c r="I507" s="26" t="s">
        <v>169</v>
      </c>
      <c r="J507" s="27" t="s">
        <v>23</v>
      </c>
      <c r="K507" s="26" t="s">
        <v>30</v>
      </c>
      <c r="L507" s="48" t="s">
        <v>386</v>
      </c>
      <c r="M507" s="9" t="s">
        <v>31</v>
      </c>
      <c r="N507" s="9">
        <v>46.34</v>
      </c>
      <c r="O507" s="9">
        <v>11.84</v>
      </c>
      <c r="P507" s="52">
        <f t="shared" si="93"/>
        <v>34.5</v>
      </c>
      <c r="Q507" s="11">
        <v>525</v>
      </c>
      <c r="R507" s="12">
        <f t="shared" si="80"/>
        <v>18112.5</v>
      </c>
      <c r="S507" s="11"/>
      <c r="T507" s="13"/>
      <c r="V507" s="19" t="s">
        <v>24</v>
      </c>
      <c r="W507" s="11">
        <v>145</v>
      </c>
      <c r="X507" s="14">
        <f t="shared" si="90"/>
        <v>5002.5</v>
      </c>
      <c r="Y507" s="15">
        <v>260</v>
      </c>
      <c r="Z507" s="15">
        <f t="shared" si="91"/>
        <v>8970</v>
      </c>
      <c r="AA507" s="13">
        <f t="shared" si="92"/>
        <v>32085</v>
      </c>
    </row>
    <row r="508" spans="1:27" s="16" customFormat="1" x14ac:dyDescent="0.3">
      <c r="A508" s="18">
        <v>507</v>
      </c>
      <c r="B508" s="8">
        <v>46294</v>
      </c>
      <c r="C508" s="8">
        <v>46295</v>
      </c>
      <c r="D508" s="65">
        <v>2609301113006</v>
      </c>
      <c r="E508" s="22" t="s">
        <v>1099</v>
      </c>
      <c r="F508" s="9" t="s">
        <v>1100</v>
      </c>
      <c r="G508" s="9">
        <v>46</v>
      </c>
      <c r="H508" s="43">
        <v>42</v>
      </c>
      <c r="I508" s="26" t="s">
        <v>169</v>
      </c>
      <c r="J508" s="27" t="s">
        <v>23</v>
      </c>
      <c r="K508" s="26" t="s">
        <v>30</v>
      </c>
      <c r="L508" s="48" t="s">
        <v>193</v>
      </c>
      <c r="M508" s="9" t="s">
        <v>108</v>
      </c>
      <c r="N508" s="9">
        <v>63.16</v>
      </c>
      <c r="O508" s="9">
        <v>16.760000000000002</v>
      </c>
      <c r="P508" s="52">
        <f t="shared" si="93"/>
        <v>46.399999999999991</v>
      </c>
      <c r="Q508" s="11">
        <v>340</v>
      </c>
      <c r="R508" s="12">
        <f t="shared" si="80"/>
        <v>15775.999999999996</v>
      </c>
      <c r="S508" s="11"/>
      <c r="T508" s="13"/>
      <c r="V508" s="19" t="s">
        <v>24</v>
      </c>
      <c r="W508" s="11">
        <v>145</v>
      </c>
      <c r="X508" s="14">
        <f t="shared" si="90"/>
        <v>6727.9999999999991</v>
      </c>
      <c r="Y508" s="15">
        <v>260</v>
      </c>
      <c r="Z508" s="15">
        <f t="shared" si="91"/>
        <v>12063.999999999998</v>
      </c>
      <c r="AA508" s="13">
        <f t="shared" si="92"/>
        <v>34567.999999999993</v>
      </c>
    </row>
    <row r="509" spans="1:27" s="16" customFormat="1" x14ac:dyDescent="0.3">
      <c r="A509" s="18">
        <v>508</v>
      </c>
      <c r="B509" s="8">
        <v>46294</v>
      </c>
      <c r="C509" s="8">
        <v>46295</v>
      </c>
      <c r="D509" s="65">
        <v>2609301113007</v>
      </c>
      <c r="E509" s="22" t="s">
        <v>1101</v>
      </c>
      <c r="F509" s="9" t="s">
        <v>1102</v>
      </c>
      <c r="G509" s="9">
        <v>37</v>
      </c>
      <c r="H509" s="43">
        <v>42</v>
      </c>
      <c r="I509" s="26" t="s">
        <v>169</v>
      </c>
      <c r="J509" s="27" t="s">
        <v>23</v>
      </c>
      <c r="K509" s="26" t="s">
        <v>30</v>
      </c>
      <c r="L509" s="48" t="s">
        <v>162</v>
      </c>
      <c r="M509" s="9" t="s">
        <v>173</v>
      </c>
      <c r="N509" s="9">
        <v>48.84</v>
      </c>
      <c r="O509" s="9">
        <v>11.62</v>
      </c>
      <c r="P509" s="52">
        <f t="shared" si="93"/>
        <v>37.220000000000006</v>
      </c>
      <c r="Q509" s="11">
        <v>470</v>
      </c>
      <c r="R509" s="12">
        <f t="shared" si="80"/>
        <v>17493.400000000001</v>
      </c>
      <c r="S509" s="11"/>
      <c r="T509" s="13"/>
      <c r="V509" s="19" t="s">
        <v>24</v>
      </c>
      <c r="W509" s="11">
        <v>145</v>
      </c>
      <c r="X509" s="14">
        <f t="shared" si="90"/>
        <v>5396.9000000000005</v>
      </c>
      <c r="Y509" s="15">
        <v>260</v>
      </c>
      <c r="Z509" s="15">
        <f t="shared" si="91"/>
        <v>9677.2000000000007</v>
      </c>
      <c r="AA509" s="13">
        <f t="shared" si="92"/>
        <v>32567.500000000004</v>
      </c>
    </row>
    <row r="510" spans="1:27" s="16" customFormat="1" x14ac:dyDescent="0.3">
      <c r="A510" s="18">
        <v>509</v>
      </c>
      <c r="B510" s="8">
        <v>46294</v>
      </c>
      <c r="C510" s="8">
        <v>46295</v>
      </c>
      <c r="D510" s="65">
        <v>2609301113008</v>
      </c>
      <c r="E510" s="22" t="s">
        <v>1103</v>
      </c>
      <c r="F510" s="9" t="s">
        <v>1104</v>
      </c>
      <c r="G510" s="9">
        <v>47</v>
      </c>
      <c r="H510" s="43">
        <v>42</v>
      </c>
      <c r="I510" s="26" t="s">
        <v>169</v>
      </c>
      <c r="J510" s="27" t="s">
        <v>23</v>
      </c>
      <c r="K510" s="26" t="s">
        <v>30</v>
      </c>
      <c r="L510" s="48" t="s">
        <v>74</v>
      </c>
      <c r="M510" s="9" t="s">
        <v>31</v>
      </c>
      <c r="N510" s="9">
        <v>57.26</v>
      </c>
      <c r="O510" s="9">
        <v>15.72</v>
      </c>
      <c r="P510" s="52">
        <f t="shared" si="93"/>
        <v>41.54</v>
      </c>
      <c r="Q510" s="11">
        <v>525</v>
      </c>
      <c r="R510" s="12">
        <f t="shared" si="80"/>
        <v>21808.5</v>
      </c>
      <c r="S510" s="11"/>
      <c r="T510" s="13"/>
      <c r="V510" s="19" t="s">
        <v>24</v>
      </c>
      <c r="W510" s="11">
        <v>145</v>
      </c>
      <c r="X510" s="14">
        <f t="shared" si="90"/>
        <v>6023.3</v>
      </c>
      <c r="Y510" s="15">
        <v>260</v>
      </c>
      <c r="Z510" s="15">
        <f t="shared" si="91"/>
        <v>10800.4</v>
      </c>
      <c r="AA510" s="13">
        <f t="shared" si="92"/>
        <v>38632.199999999997</v>
      </c>
    </row>
    <row r="511" spans="1:27" s="16" customFormat="1" x14ac:dyDescent="0.3">
      <c r="A511" s="18">
        <v>510</v>
      </c>
      <c r="B511" s="8">
        <v>46294</v>
      </c>
      <c r="C511" s="8">
        <v>46295</v>
      </c>
      <c r="D511" s="65">
        <v>2609301113009</v>
      </c>
      <c r="E511" s="22" t="s">
        <v>1105</v>
      </c>
      <c r="F511" s="9" t="s">
        <v>1106</v>
      </c>
      <c r="G511" s="9">
        <v>47</v>
      </c>
      <c r="H511" s="43">
        <v>42</v>
      </c>
      <c r="I511" s="26" t="s">
        <v>169</v>
      </c>
      <c r="J511" s="27" t="s">
        <v>23</v>
      </c>
      <c r="K511" s="26" t="s">
        <v>30</v>
      </c>
      <c r="L511" s="48" t="s">
        <v>70</v>
      </c>
      <c r="M511" s="9" t="s">
        <v>173</v>
      </c>
      <c r="N511" s="9">
        <v>63.62</v>
      </c>
      <c r="O511" s="9">
        <v>15.7</v>
      </c>
      <c r="P511" s="52">
        <f t="shared" si="93"/>
        <v>47.92</v>
      </c>
      <c r="Q511" s="11">
        <v>470</v>
      </c>
      <c r="R511" s="12">
        <f t="shared" si="80"/>
        <v>22522.400000000001</v>
      </c>
      <c r="S511" s="11"/>
      <c r="T511" s="13"/>
      <c r="V511" s="19" t="s">
        <v>24</v>
      </c>
      <c r="W511" s="11">
        <v>145</v>
      </c>
      <c r="X511" s="14">
        <f t="shared" si="90"/>
        <v>6948.4000000000005</v>
      </c>
      <c r="Y511" s="15">
        <v>260</v>
      </c>
      <c r="Z511" s="15">
        <f t="shared" si="91"/>
        <v>12459.2</v>
      </c>
      <c r="AA511" s="13">
        <f t="shared" si="92"/>
        <v>41930</v>
      </c>
    </row>
    <row r="512" spans="1:27" s="16" customFormat="1" x14ac:dyDescent="0.3">
      <c r="A512" s="18">
        <v>511</v>
      </c>
      <c r="B512" s="8">
        <v>46294</v>
      </c>
      <c r="C512" s="8">
        <v>46295</v>
      </c>
      <c r="D512" s="65">
        <v>2609301113011</v>
      </c>
      <c r="E512" s="22" t="s">
        <v>1107</v>
      </c>
      <c r="F512" s="9" t="s">
        <v>1108</v>
      </c>
      <c r="G512" s="9"/>
      <c r="H512" s="37">
        <v>136</v>
      </c>
      <c r="I512" s="39" t="s">
        <v>69</v>
      </c>
      <c r="J512" s="36" t="s">
        <v>23</v>
      </c>
      <c r="K512" s="26" t="s">
        <v>30</v>
      </c>
      <c r="L512" s="48" t="s">
        <v>290</v>
      </c>
      <c r="M512" s="9" t="s">
        <v>748</v>
      </c>
      <c r="N512" s="9">
        <v>64.52</v>
      </c>
      <c r="O512" s="9">
        <v>15.36</v>
      </c>
      <c r="P512" s="52">
        <f t="shared" si="93"/>
        <v>49.16</v>
      </c>
      <c r="Q512" s="11">
        <v>260</v>
      </c>
      <c r="R512" s="12">
        <f t="shared" si="80"/>
        <v>12781.599999999999</v>
      </c>
      <c r="S512" s="11"/>
      <c r="T512" s="13"/>
      <c r="V512" s="19" t="s">
        <v>24</v>
      </c>
      <c r="W512" s="11"/>
      <c r="X512" s="14">
        <f t="shared" si="90"/>
        <v>0</v>
      </c>
      <c r="Y512" s="15">
        <v>115</v>
      </c>
      <c r="Z512" s="15">
        <f t="shared" si="91"/>
        <v>5653.4</v>
      </c>
      <c r="AA512" s="13">
        <f t="shared" si="92"/>
        <v>18435</v>
      </c>
    </row>
    <row r="513" spans="1:40" s="16" customFormat="1" x14ac:dyDescent="0.3">
      <c r="A513" s="18">
        <v>512</v>
      </c>
      <c r="B513" s="8">
        <v>46294</v>
      </c>
      <c r="C513" s="8">
        <v>46295</v>
      </c>
      <c r="D513" s="65">
        <v>2609301113012</v>
      </c>
      <c r="E513" s="22" t="s">
        <v>1109</v>
      </c>
      <c r="F513" s="9" t="s">
        <v>1110</v>
      </c>
      <c r="G513" s="9">
        <v>45</v>
      </c>
      <c r="H513" s="43">
        <v>42</v>
      </c>
      <c r="I513" s="26" t="s">
        <v>169</v>
      </c>
      <c r="J513" s="27" t="s">
        <v>23</v>
      </c>
      <c r="K513" s="26" t="s">
        <v>30</v>
      </c>
      <c r="L513" s="48" t="s">
        <v>319</v>
      </c>
      <c r="M513" s="9" t="s">
        <v>173</v>
      </c>
      <c r="N513" s="47">
        <v>61.6</v>
      </c>
      <c r="O513" s="47">
        <v>15.88</v>
      </c>
      <c r="P513" s="52">
        <f t="shared" si="93"/>
        <v>45.72</v>
      </c>
      <c r="Q513" s="11">
        <v>470</v>
      </c>
      <c r="R513" s="12">
        <f t="shared" si="80"/>
        <v>21488.399999999998</v>
      </c>
      <c r="S513" s="11"/>
      <c r="T513" s="13"/>
      <c r="V513" s="19" t="s">
        <v>24</v>
      </c>
      <c r="W513" s="11">
        <v>145</v>
      </c>
      <c r="X513" s="14">
        <f t="shared" si="90"/>
        <v>6629.4</v>
      </c>
      <c r="Y513" s="15">
        <v>260</v>
      </c>
      <c r="Z513" s="15">
        <f t="shared" si="91"/>
        <v>11887.199999999999</v>
      </c>
      <c r="AA513" s="13">
        <f t="shared" si="92"/>
        <v>40004.999999999993</v>
      </c>
      <c r="AF513"/>
      <c r="AG513"/>
      <c r="AH513"/>
      <c r="AI513"/>
      <c r="AJ513"/>
      <c r="AK513"/>
      <c r="AL513"/>
      <c r="AM513"/>
      <c r="AN513"/>
    </row>
    <row r="514" spans="1:40" s="16" customFormat="1" x14ac:dyDescent="0.3">
      <c r="A514" s="18">
        <v>513</v>
      </c>
      <c r="B514" s="8">
        <v>46294</v>
      </c>
      <c r="C514" s="8">
        <v>46295</v>
      </c>
      <c r="D514" s="65">
        <v>2609301113013</v>
      </c>
      <c r="E514" s="22" t="s">
        <v>1111</v>
      </c>
      <c r="F514" s="9" t="s">
        <v>1112</v>
      </c>
      <c r="G514" s="9">
        <v>47</v>
      </c>
      <c r="H514" s="43">
        <v>42</v>
      </c>
      <c r="I514" s="26" t="s">
        <v>169</v>
      </c>
      <c r="J514" s="27" t="s">
        <v>23</v>
      </c>
      <c r="K514" s="26" t="s">
        <v>30</v>
      </c>
      <c r="L514" s="48" t="s">
        <v>184</v>
      </c>
      <c r="M514" s="9" t="s">
        <v>31</v>
      </c>
      <c r="N514" s="47">
        <v>64</v>
      </c>
      <c r="O514" s="47">
        <v>16.52</v>
      </c>
      <c r="P514" s="52">
        <f t="shared" si="93"/>
        <v>47.480000000000004</v>
      </c>
      <c r="Q514" s="11">
        <v>525</v>
      </c>
      <c r="R514" s="12">
        <f t="shared" ref="R514:R534" si="94">P514*Q514</f>
        <v>24927.000000000004</v>
      </c>
      <c r="S514" s="11"/>
      <c r="T514" s="13"/>
      <c r="V514" s="19" t="s">
        <v>24</v>
      </c>
      <c r="W514" s="11">
        <v>145</v>
      </c>
      <c r="X514" s="14">
        <f t="shared" si="90"/>
        <v>6884.6</v>
      </c>
      <c r="Y514" s="15">
        <v>260</v>
      </c>
      <c r="Z514" s="15">
        <f t="shared" si="91"/>
        <v>12344.800000000001</v>
      </c>
      <c r="AA514" s="13">
        <f t="shared" si="92"/>
        <v>44156.400000000009</v>
      </c>
      <c r="AF514"/>
      <c r="AG514"/>
      <c r="AH514"/>
      <c r="AI514"/>
      <c r="AJ514"/>
      <c r="AK514"/>
      <c r="AL514"/>
      <c r="AM514"/>
      <c r="AN514"/>
    </row>
    <row r="515" spans="1:40" s="16" customFormat="1" x14ac:dyDescent="0.3">
      <c r="A515" s="18">
        <v>514</v>
      </c>
      <c r="B515" s="8">
        <v>46295</v>
      </c>
      <c r="C515" s="8">
        <v>46295</v>
      </c>
      <c r="D515" s="72">
        <v>2609301113014</v>
      </c>
      <c r="E515" s="22" t="s">
        <v>1113</v>
      </c>
      <c r="F515" s="9" t="s">
        <v>1114</v>
      </c>
      <c r="G515" s="9">
        <v>27</v>
      </c>
      <c r="H515" s="37">
        <v>132</v>
      </c>
      <c r="I515" s="26" t="s">
        <v>1115</v>
      </c>
      <c r="J515" s="36" t="s">
        <v>23</v>
      </c>
      <c r="K515" s="26" t="s">
        <v>30</v>
      </c>
      <c r="L515" s="48" t="s">
        <v>61</v>
      </c>
      <c r="M515" s="9" t="s">
        <v>31</v>
      </c>
      <c r="N515" s="9">
        <v>40.64</v>
      </c>
      <c r="O515" s="9">
        <v>12.92</v>
      </c>
      <c r="P515" s="52">
        <f>N515-O515</f>
        <v>27.72</v>
      </c>
      <c r="Q515" s="11">
        <v>580</v>
      </c>
      <c r="R515" s="12">
        <f t="shared" si="94"/>
        <v>16077.599999999999</v>
      </c>
      <c r="S515" s="11"/>
      <c r="T515" s="13"/>
      <c r="V515" s="19" t="s">
        <v>181</v>
      </c>
      <c r="W515" s="11">
        <v>150</v>
      </c>
      <c r="X515" s="14">
        <f t="shared" ref="X515:X534" si="95">P515*W515</f>
        <v>4158</v>
      </c>
      <c r="Y515" s="15">
        <v>250</v>
      </c>
      <c r="Z515" s="15">
        <f t="shared" ref="Z515:Z534" si="96">P515*Y515</f>
        <v>6930</v>
      </c>
      <c r="AA515" s="13">
        <f t="shared" ref="AA515:AA534" si="97">R515+X515+Z515</f>
        <v>27165.599999999999</v>
      </c>
    </row>
    <row r="516" spans="1:40" s="28" customFormat="1" x14ac:dyDescent="0.3">
      <c r="A516" s="18">
        <v>515</v>
      </c>
      <c r="B516" s="8">
        <v>46295</v>
      </c>
      <c r="C516" s="8">
        <v>46295</v>
      </c>
      <c r="D516" s="72">
        <v>2609301113010</v>
      </c>
      <c r="E516" s="22" t="s">
        <v>1116</v>
      </c>
      <c r="F516" s="9" t="s">
        <v>1117</v>
      </c>
      <c r="G516" s="9"/>
      <c r="H516" s="37">
        <v>136</v>
      </c>
      <c r="I516" s="39" t="s">
        <v>69</v>
      </c>
      <c r="J516" s="36" t="s">
        <v>23</v>
      </c>
      <c r="K516" s="26" t="s">
        <v>30</v>
      </c>
      <c r="L516" s="48" t="s">
        <v>97</v>
      </c>
      <c r="M516" s="9" t="s">
        <v>748</v>
      </c>
      <c r="N516" s="9">
        <v>53.78</v>
      </c>
      <c r="O516" s="9">
        <v>13.78</v>
      </c>
      <c r="P516" s="52">
        <f t="shared" ref="P516:P534" si="98">N516-O516</f>
        <v>40</v>
      </c>
      <c r="Q516" s="11">
        <v>260</v>
      </c>
      <c r="R516" s="12">
        <f t="shared" si="94"/>
        <v>10400</v>
      </c>
      <c r="S516" s="11"/>
      <c r="T516" s="13"/>
      <c r="V516" s="19" t="s">
        <v>24</v>
      </c>
      <c r="W516" s="11"/>
      <c r="X516" s="14">
        <f t="shared" si="95"/>
        <v>0</v>
      </c>
      <c r="Y516" s="15">
        <v>115</v>
      </c>
      <c r="Z516" s="15">
        <f t="shared" si="96"/>
        <v>4600</v>
      </c>
      <c r="AA516" s="13">
        <f t="shared" si="97"/>
        <v>15000</v>
      </c>
    </row>
    <row r="517" spans="1:40" s="16" customFormat="1" x14ac:dyDescent="0.3">
      <c r="A517" s="18">
        <v>516</v>
      </c>
      <c r="B517" s="8">
        <v>46295</v>
      </c>
      <c r="C517" s="8">
        <v>46295</v>
      </c>
      <c r="D517" s="72">
        <v>2609301113015</v>
      </c>
      <c r="E517" s="22" t="s">
        <v>1118</v>
      </c>
      <c r="F517" s="9" t="s">
        <v>1119</v>
      </c>
      <c r="G517" s="9"/>
      <c r="H517" s="37">
        <v>136</v>
      </c>
      <c r="I517" s="39" t="s">
        <v>69</v>
      </c>
      <c r="J517" s="36" t="s">
        <v>23</v>
      </c>
      <c r="K517" s="26" t="s">
        <v>30</v>
      </c>
      <c r="L517" s="48" t="s">
        <v>184</v>
      </c>
      <c r="M517" s="9" t="s">
        <v>748</v>
      </c>
      <c r="N517" s="9">
        <v>66.16</v>
      </c>
      <c r="O517" s="9">
        <v>16.260000000000002</v>
      </c>
      <c r="P517" s="52">
        <f t="shared" si="98"/>
        <v>49.899999999999991</v>
      </c>
      <c r="Q517" s="11">
        <v>260</v>
      </c>
      <c r="R517" s="12">
        <f t="shared" si="94"/>
        <v>12973.999999999998</v>
      </c>
      <c r="S517" s="11"/>
      <c r="T517" s="13"/>
      <c r="V517" s="19" t="s">
        <v>24</v>
      </c>
      <c r="W517" s="11"/>
      <c r="X517" s="14">
        <f t="shared" si="95"/>
        <v>0</v>
      </c>
      <c r="Y517" s="15">
        <v>115</v>
      </c>
      <c r="Z517" s="15">
        <f t="shared" si="96"/>
        <v>5738.4999999999991</v>
      </c>
      <c r="AA517" s="13">
        <f t="shared" si="97"/>
        <v>18712.499999999996</v>
      </c>
    </row>
    <row r="518" spans="1:40" s="16" customFormat="1" x14ac:dyDescent="0.3">
      <c r="A518" s="18">
        <v>517</v>
      </c>
      <c r="B518" s="8">
        <v>46295</v>
      </c>
      <c r="C518" s="8">
        <v>46295</v>
      </c>
      <c r="D518" s="72">
        <v>2609301113016</v>
      </c>
      <c r="E518" s="22" t="s">
        <v>1120</v>
      </c>
      <c r="F518" s="9" t="s">
        <v>1121</v>
      </c>
      <c r="G518" s="9"/>
      <c r="H518" s="37">
        <v>136</v>
      </c>
      <c r="I518" s="39" t="s">
        <v>69</v>
      </c>
      <c r="J518" s="36" t="s">
        <v>23</v>
      </c>
      <c r="K518" s="26" t="s">
        <v>30</v>
      </c>
      <c r="L518" s="48" t="s">
        <v>193</v>
      </c>
      <c r="M518" s="9" t="s">
        <v>748</v>
      </c>
      <c r="N518" s="9">
        <v>67.180000000000007</v>
      </c>
      <c r="O518" s="9">
        <v>16.559999999999999</v>
      </c>
      <c r="P518" s="52">
        <f t="shared" si="98"/>
        <v>50.620000000000005</v>
      </c>
      <c r="Q518" s="11">
        <v>260</v>
      </c>
      <c r="R518" s="12">
        <f t="shared" si="94"/>
        <v>13161.2</v>
      </c>
      <c r="S518" s="11"/>
      <c r="T518" s="13"/>
      <c r="V518" s="19" t="s">
        <v>24</v>
      </c>
      <c r="W518" s="11"/>
      <c r="X518" s="14">
        <f t="shared" si="95"/>
        <v>0</v>
      </c>
      <c r="Y518" s="15">
        <v>115</v>
      </c>
      <c r="Z518" s="15">
        <f t="shared" si="96"/>
        <v>5821.3</v>
      </c>
      <c r="AA518" s="13">
        <f t="shared" si="97"/>
        <v>18982.5</v>
      </c>
    </row>
    <row r="519" spans="1:40" s="28" customFormat="1" x14ac:dyDescent="0.3">
      <c r="A519" s="18">
        <v>518</v>
      </c>
      <c r="B519" s="8">
        <v>46295</v>
      </c>
      <c r="C519" s="8">
        <v>46295</v>
      </c>
      <c r="D519" s="72">
        <v>2609301113017</v>
      </c>
      <c r="E519" s="22" t="s">
        <v>1122</v>
      </c>
      <c r="F519" s="9" t="s">
        <v>1123</v>
      </c>
      <c r="G519" s="9"/>
      <c r="H519" s="37">
        <v>136</v>
      </c>
      <c r="I519" s="39" t="s">
        <v>69</v>
      </c>
      <c r="J519" s="36" t="s">
        <v>23</v>
      </c>
      <c r="K519" s="26" t="s">
        <v>30</v>
      </c>
      <c r="L519" s="48" t="s">
        <v>1124</v>
      </c>
      <c r="M519" s="9" t="s">
        <v>748</v>
      </c>
      <c r="N519" s="9">
        <v>62.86</v>
      </c>
      <c r="O519" s="9">
        <v>15.52</v>
      </c>
      <c r="P519" s="52">
        <f t="shared" si="98"/>
        <v>47.34</v>
      </c>
      <c r="Q519" s="11">
        <v>260</v>
      </c>
      <c r="R519" s="12">
        <f t="shared" si="94"/>
        <v>12308.400000000001</v>
      </c>
      <c r="S519" s="11"/>
      <c r="T519" s="13"/>
      <c r="V519" s="19" t="s">
        <v>24</v>
      </c>
      <c r="W519" s="11"/>
      <c r="X519" s="14">
        <f t="shared" si="95"/>
        <v>0</v>
      </c>
      <c r="Y519" s="15">
        <v>115</v>
      </c>
      <c r="Z519" s="15">
        <f t="shared" si="96"/>
        <v>5444.1</v>
      </c>
      <c r="AA519" s="13">
        <f t="shared" si="97"/>
        <v>17752.5</v>
      </c>
    </row>
    <row r="520" spans="1:40" s="16" customFormat="1" x14ac:dyDescent="0.3">
      <c r="A520" s="18">
        <v>519</v>
      </c>
      <c r="B520" s="8">
        <v>46295</v>
      </c>
      <c r="C520" s="8">
        <v>46295</v>
      </c>
      <c r="D520" s="72">
        <v>2609301113018</v>
      </c>
      <c r="E520" s="22" t="s">
        <v>1125</v>
      </c>
      <c r="F520" s="9" t="s">
        <v>1126</v>
      </c>
      <c r="G520" s="9"/>
      <c r="H520" s="37">
        <v>136</v>
      </c>
      <c r="I520" s="39" t="s">
        <v>69</v>
      </c>
      <c r="J520" s="36" t="s">
        <v>23</v>
      </c>
      <c r="K520" s="26" t="s">
        <v>30</v>
      </c>
      <c r="L520" s="48" t="s">
        <v>1127</v>
      </c>
      <c r="M520" s="9" t="s">
        <v>748</v>
      </c>
      <c r="N520" s="9">
        <v>55.3</v>
      </c>
      <c r="O520" s="9">
        <v>14.22</v>
      </c>
      <c r="P520" s="52">
        <f t="shared" si="98"/>
        <v>41.08</v>
      </c>
      <c r="Q520" s="11">
        <v>260</v>
      </c>
      <c r="R520" s="12">
        <f t="shared" si="94"/>
        <v>10680.8</v>
      </c>
      <c r="S520" s="11"/>
      <c r="T520" s="13"/>
      <c r="V520" s="19" t="s">
        <v>24</v>
      </c>
      <c r="W520" s="11"/>
      <c r="X520" s="14">
        <f t="shared" si="95"/>
        <v>0</v>
      </c>
      <c r="Y520" s="15">
        <v>115</v>
      </c>
      <c r="Z520" s="15">
        <f t="shared" si="96"/>
        <v>4724.2</v>
      </c>
      <c r="AA520" s="13">
        <f t="shared" si="97"/>
        <v>15405</v>
      </c>
    </row>
    <row r="521" spans="1:40" s="16" customFormat="1" x14ac:dyDescent="0.3">
      <c r="A521" s="18">
        <v>520</v>
      </c>
      <c r="B521" s="8">
        <v>46295</v>
      </c>
      <c r="C521" s="8">
        <v>46295</v>
      </c>
      <c r="D521" s="72">
        <v>2609301113019</v>
      </c>
      <c r="E521" s="22" t="s">
        <v>1128</v>
      </c>
      <c r="F521" s="9" t="s">
        <v>1129</v>
      </c>
      <c r="G521" s="9">
        <v>40</v>
      </c>
      <c r="H521" s="37">
        <v>130</v>
      </c>
      <c r="I521" s="26" t="s">
        <v>344</v>
      </c>
      <c r="J521" s="36" t="s">
        <v>23</v>
      </c>
      <c r="K521" s="26" t="s">
        <v>30</v>
      </c>
      <c r="L521" s="9" t="s">
        <v>345</v>
      </c>
      <c r="M521" s="9" t="s">
        <v>31</v>
      </c>
      <c r="N521" s="9">
        <v>55.7</v>
      </c>
      <c r="O521" s="9">
        <v>15.64</v>
      </c>
      <c r="P521" s="52">
        <f t="shared" si="98"/>
        <v>40.06</v>
      </c>
      <c r="Q521" s="11">
        <v>520</v>
      </c>
      <c r="R521" s="12">
        <f t="shared" si="94"/>
        <v>20831.2</v>
      </c>
      <c r="S521" s="11"/>
      <c r="T521" s="13"/>
      <c r="V521" s="19" t="s">
        <v>181</v>
      </c>
      <c r="W521" s="11">
        <v>150</v>
      </c>
      <c r="X521" s="14">
        <f t="shared" si="95"/>
        <v>6009</v>
      </c>
      <c r="Y521" s="15"/>
      <c r="Z521" s="15">
        <f t="shared" si="96"/>
        <v>0</v>
      </c>
      <c r="AA521" s="13">
        <f t="shared" si="97"/>
        <v>26840.2</v>
      </c>
    </row>
    <row r="522" spans="1:40" s="16" customFormat="1" x14ac:dyDescent="0.3">
      <c r="A522" s="18">
        <v>521</v>
      </c>
      <c r="B522" s="8">
        <v>46295</v>
      </c>
      <c r="C522" s="8">
        <v>46295</v>
      </c>
      <c r="D522" s="74" t="s">
        <v>1130</v>
      </c>
      <c r="E522" s="22"/>
      <c r="F522" s="9"/>
      <c r="G522" s="9"/>
      <c r="H522" s="37"/>
      <c r="I522" s="26" t="s">
        <v>333</v>
      </c>
      <c r="J522" s="36" t="s">
        <v>23</v>
      </c>
      <c r="K522" s="26" t="s">
        <v>30</v>
      </c>
      <c r="L522" s="9" t="s">
        <v>33</v>
      </c>
      <c r="M522" s="9" t="s">
        <v>233</v>
      </c>
      <c r="N522" s="9">
        <v>19.5</v>
      </c>
      <c r="O522" s="9">
        <v>14.16</v>
      </c>
      <c r="P522" s="52">
        <f t="shared" si="98"/>
        <v>5.34</v>
      </c>
      <c r="Q522" s="11">
        <v>0</v>
      </c>
      <c r="R522" s="12">
        <f t="shared" si="94"/>
        <v>0</v>
      </c>
      <c r="S522" s="11"/>
      <c r="T522" s="13"/>
      <c r="V522" s="19" t="s">
        <v>24</v>
      </c>
      <c r="W522" s="11"/>
      <c r="X522" s="14">
        <f t="shared" si="95"/>
        <v>0</v>
      </c>
      <c r="Y522" s="15"/>
      <c r="Z522" s="15">
        <f t="shared" si="96"/>
        <v>0</v>
      </c>
      <c r="AA522" s="13">
        <f t="shared" si="97"/>
        <v>0</v>
      </c>
    </row>
    <row r="523" spans="1:40" s="16" customFormat="1" x14ac:dyDescent="0.3">
      <c r="A523" s="18">
        <v>522</v>
      </c>
      <c r="B523" s="8">
        <v>46295</v>
      </c>
      <c r="C523" s="8">
        <v>46295</v>
      </c>
      <c r="D523" s="74" t="s">
        <v>1131</v>
      </c>
      <c r="E523" s="22"/>
      <c r="F523" s="9"/>
      <c r="G523" s="9"/>
      <c r="H523" s="37"/>
      <c r="I523" s="26" t="s">
        <v>333</v>
      </c>
      <c r="J523" s="36" t="s">
        <v>23</v>
      </c>
      <c r="K523" s="26" t="s">
        <v>30</v>
      </c>
      <c r="L523" s="9" t="s">
        <v>41</v>
      </c>
      <c r="M523" s="9" t="s">
        <v>233</v>
      </c>
      <c r="N523" s="9">
        <v>27.6</v>
      </c>
      <c r="O523" s="9">
        <v>14.82</v>
      </c>
      <c r="P523" s="52">
        <f t="shared" si="98"/>
        <v>12.780000000000001</v>
      </c>
      <c r="Q523" s="11">
        <v>0</v>
      </c>
      <c r="R523" s="12">
        <f t="shared" si="94"/>
        <v>0</v>
      </c>
      <c r="S523" s="11"/>
      <c r="T523" s="13"/>
      <c r="V523" s="19" t="s">
        <v>24</v>
      </c>
      <c r="W523" s="11"/>
      <c r="X523" s="14">
        <f t="shared" si="95"/>
        <v>0</v>
      </c>
      <c r="Y523" s="15"/>
      <c r="Z523" s="15">
        <f t="shared" si="96"/>
        <v>0</v>
      </c>
      <c r="AA523" s="13">
        <f t="shared" si="97"/>
        <v>0</v>
      </c>
    </row>
    <row r="524" spans="1:40" s="16" customFormat="1" x14ac:dyDescent="0.3">
      <c r="A524" s="18">
        <v>523</v>
      </c>
      <c r="B524" s="8">
        <v>46295</v>
      </c>
      <c r="C524" s="8">
        <v>46295</v>
      </c>
      <c r="D524" s="74" t="s">
        <v>1132</v>
      </c>
      <c r="E524" s="22"/>
      <c r="F524" s="9"/>
      <c r="G524" s="9"/>
      <c r="H524" s="37"/>
      <c r="I524" s="26" t="s">
        <v>333</v>
      </c>
      <c r="J524" s="36" t="s">
        <v>23</v>
      </c>
      <c r="K524" s="26" t="s">
        <v>30</v>
      </c>
      <c r="L524" s="9" t="s">
        <v>33</v>
      </c>
      <c r="M524" s="9" t="s">
        <v>233</v>
      </c>
      <c r="N524" s="9">
        <v>28.1</v>
      </c>
      <c r="O524" s="9">
        <v>14.23</v>
      </c>
      <c r="P524" s="52">
        <f t="shared" si="98"/>
        <v>13.870000000000001</v>
      </c>
      <c r="Q524" s="11">
        <v>0</v>
      </c>
      <c r="R524" s="12">
        <f t="shared" si="94"/>
        <v>0</v>
      </c>
      <c r="S524" s="11"/>
      <c r="T524" s="13"/>
      <c r="V524" s="19" t="s">
        <v>24</v>
      </c>
      <c r="W524" s="11"/>
      <c r="X524" s="14">
        <f t="shared" si="95"/>
        <v>0</v>
      </c>
      <c r="Y524" s="15"/>
      <c r="Z524" s="15">
        <f t="shared" si="96"/>
        <v>0</v>
      </c>
      <c r="AA524" s="13">
        <f t="shared" si="97"/>
        <v>0</v>
      </c>
    </row>
    <row r="525" spans="1:40" s="16" customFormat="1" x14ac:dyDescent="0.3">
      <c r="A525" s="18">
        <v>524</v>
      </c>
      <c r="B525" s="8">
        <v>46295</v>
      </c>
      <c r="C525" s="8">
        <v>46295</v>
      </c>
      <c r="D525" s="20" t="s">
        <v>1133</v>
      </c>
      <c r="E525" s="22"/>
      <c r="F525" s="9"/>
      <c r="G525" s="9"/>
      <c r="H525" s="31"/>
      <c r="I525" s="31" t="s">
        <v>333</v>
      </c>
      <c r="J525" s="36" t="s">
        <v>23</v>
      </c>
      <c r="K525" s="26" t="s">
        <v>30</v>
      </c>
      <c r="L525" s="9" t="s">
        <v>43</v>
      </c>
      <c r="M525" s="9" t="s">
        <v>233</v>
      </c>
      <c r="N525" s="9">
        <v>26.56</v>
      </c>
      <c r="O525" s="9">
        <v>14.8</v>
      </c>
      <c r="P525" s="52">
        <f t="shared" si="98"/>
        <v>11.759999999999998</v>
      </c>
      <c r="Q525" s="11">
        <v>0</v>
      </c>
      <c r="R525" s="12">
        <f t="shared" si="94"/>
        <v>0</v>
      </c>
      <c r="S525" s="11"/>
      <c r="T525" s="13"/>
      <c r="V525" s="19" t="s">
        <v>24</v>
      </c>
      <c r="W525" s="11"/>
      <c r="X525" s="14">
        <f t="shared" si="95"/>
        <v>0</v>
      </c>
      <c r="Y525" s="15"/>
      <c r="Z525" s="15">
        <f t="shared" si="96"/>
        <v>0</v>
      </c>
      <c r="AA525" s="13">
        <f t="shared" si="97"/>
        <v>0</v>
      </c>
    </row>
    <row r="526" spans="1:40" s="16" customFormat="1" x14ac:dyDescent="0.3">
      <c r="A526" s="18">
        <v>525</v>
      </c>
      <c r="B526" s="8">
        <v>46295</v>
      </c>
      <c r="C526" s="8">
        <v>46295</v>
      </c>
      <c r="D526" s="20" t="s">
        <v>1134</v>
      </c>
      <c r="E526" s="22"/>
      <c r="F526" s="9" t="s">
        <v>1135</v>
      </c>
      <c r="G526" s="9">
        <v>41</v>
      </c>
      <c r="H526" s="31"/>
      <c r="I526" s="54" t="s">
        <v>1136</v>
      </c>
      <c r="J526" s="36" t="s">
        <v>23</v>
      </c>
      <c r="K526" s="31" t="s">
        <v>297</v>
      </c>
      <c r="L526" s="48" t="s">
        <v>1137</v>
      </c>
      <c r="M526" s="9" t="s">
        <v>1058</v>
      </c>
      <c r="N526" s="9">
        <v>57.16</v>
      </c>
      <c r="O526" s="9">
        <v>15.54</v>
      </c>
      <c r="P526" s="52">
        <f t="shared" si="98"/>
        <v>41.62</v>
      </c>
      <c r="Q526" s="11">
        <v>595</v>
      </c>
      <c r="R526" s="12">
        <f t="shared" si="94"/>
        <v>24763.899999999998</v>
      </c>
      <c r="S526" s="11"/>
      <c r="T526" s="13"/>
      <c r="V526" s="19" t="s">
        <v>54</v>
      </c>
      <c r="W526" s="11"/>
      <c r="X526" s="14">
        <f t="shared" si="95"/>
        <v>0</v>
      </c>
      <c r="Y526" s="15"/>
      <c r="Z526" s="15">
        <f t="shared" si="96"/>
        <v>0</v>
      </c>
      <c r="AA526" s="13">
        <f t="shared" si="97"/>
        <v>24763.899999999998</v>
      </c>
    </row>
    <row r="527" spans="1:40" s="16" customFormat="1" x14ac:dyDescent="0.3">
      <c r="A527" s="18">
        <v>526</v>
      </c>
      <c r="B527" s="8">
        <v>46295</v>
      </c>
      <c r="C527" s="8">
        <v>46296</v>
      </c>
      <c r="D527" s="65">
        <v>2610011113001</v>
      </c>
      <c r="E527" s="22" t="s">
        <v>1138</v>
      </c>
      <c r="F527" s="9" t="s">
        <v>1139</v>
      </c>
      <c r="G527" s="9">
        <v>39</v>
      </c>
      <c r="H527" s="43">
        <v>42</v>
      </c>
      <c r="I527" s="26" t="s">
        <v>169</v>
      </c>
      <c r="J527" s="27" t="s">
        <v>23</v>
      </c>
      <c r="K527" s="26" t="s">
        <v>30</v>
      </c>
      <c r="L527" s="48" t="s">
        <v>386</v>
      </c>
      <c r="M527" s="9" t="s">
        <v>173</v>
      </c>
      <c r="N527" s="9">
        <v>50.92</v>
      </c>
      <c r="O527" s="9">
        <v>11.86</v>
      </c>
      <c r="P527" s="52">
        <f t="shared" si="98"/>
        <v>39.06</v>
      </c>
      <c r="Q527" s="11">
        <v>470</v>
      </c>
      <c r="R527" s="12">
        <f t="shared" si="94"/>
        <v>18358.2</v>
      </c>
      <c r="S527" s="11"/>
      <c r="T527" s="13"/>
      <c r="V527" s="19" t="s">
        <v>24</v>
      </c>
      <c r="W527" s="11">
        <v>145</v>
      </c>
      <c r="X527" s="14">
        <f t="shared" si="95"/>
        <v>5663.7000000000007</v>
      </c>
      <c r="Y527" s="15">
        <v>260</v>
      </c>
      <c r="Z527" s="15">
        <f t="shared" si="96"/>
        <v>10155.6</v>
      </c>
      <c r="AA527" s="13">
        <f t="shared" si="97"/>
        <v>34177.5</v>
      </c>
    </row>
    <row r="528" spans="1:40" s="16" customFormat="1" x14ac:dyDescent="0.3">
      <c r="A528" s="18">
        <v>527</v>
      </c>
      <c r="B528" s="8">
        <v>46295</v>
      </c>
      <c r="C528" s="8">
        <v>46296</v>
      </c>
      <c r="D528" s="65">
        <v>2610011113002</v>
      </c>
      <c r="E528" s="22" t="s">
        <v>1140</v>
      </c>
      <c r="F528" s="9" t="s">
        <v>1141</v>
      </c>
      <c r="G528" s="9">
        <v>42</v>
      </c>
      <c r="H528" s="43">
        <v>42</v>
      </c>
      <c r="I528" s="26" t="s">
        <v>169</v>
      </c>
      <c r="J528" s="27" t="s">
        <v>23</v>
      </c>
      <c r="K528" s="26" t="s">
        <v>30</v>
      </c>
      <c r="L528" s="48" t="s">
        <v>70</v>
      </c>
      <c r="M528" s="9" t="s">
        <v>108</v>
      </c>
      <c r="N528" s="9">
        <v>57.78</v>
      </c>
      <c r="O528" s="9">
        <v>15.68</v>
      </c>
      <c r="P528" s="52">
        <f t="shared" si="98"/>
        <v>42.1</v>
      </c>
      <c r="Q528" s="11">
        <v>340</v>
      </c>
      <c r="R528" s="12">
        <f t="shared" si="94"/>
        <v>14314</v>
      </c>
      <c r="S528" s="11"/>
      <c r="T528" s="13"/>
      <c r="V528" s="19" t="s">
        <v>24</v>
      </c>
      <c r="W528" s="11">
        <v>145</v>
      </c>
      <c r="X528" s="14">
        <f t="shared" si="95"/>
        <v>6104.5</v>
      </c>
      <c r="Y528" s="15">
        <v>260</v>
      </c>
      <c r="Z528" s="15">
        <f t="shared" si="96"/>
        <v>10946</v>
      </c>
      <c r="AA528" s="13">
        <f t="shared" si="97"/>
        <v>31364.5</v>
      </c>
    </row>
    <row r="529" spans="1:27" s="16" customFormat="1" x14ac:dyDescent="0.3">
      <c r="A529" s="18">
        <v>528</v>
      </c>
      <c r="B529" s="8">
        <v>46295</v>
      </c>
      <c r="C529" s="8">
        <v>46296</v>
      </c>
      <c r="D529" s="65">
        <v>2610011113003</v>
      </c>
      <c r="E529" s="22" t="s">
        <v>1142</v>
      </c>
      <c r="F529" s="9" t="s">
        <v>1143</v>
      </c>
      <c r="G529" s="9">
        <v>47</v>
      </c>
      <c r="H529" s="43">
        <v>42</v>
      </c>
      <c r="I529" s="26" t="s">
        <v>169</v>
      </c>
      <c r="J529" s="27" t="s">
        <v>23</v>
      </c>
      <c r="K529" s="26" t="s">
        <v>30</v>
      </c>
      <c r="L529" s="9" t="s">
        <v>184</v>
      </c>
      <c r="M529" s="9" t="s">
        <v>31</v>
      </c>
      <c r="N529" s="9">
        <v>63.62</v>
      </c>
      <c r="O529" s="9">
        <v>16.440000000000001</v>
      </c>
      <c r="P529" s="52">
        <f t="shared" si="98"/>
        <v>47.179999999999993</v>
      </c>
      <c r="Q529" s="11">
        <v>525</v>
      </c>
      <c r="R529" s="12">
        <f t="shared" si="94"/>
        <v>24769.499999999996</v>
      </c>
      <c r="S529" s="11"/>
      <c r="T529" s="13"/>
      <c r="V529" s="19" t="s">
        <v>24</v>
      </c>
      <c r="W529" s="11">
        <v>145</v>
      </c>
      <c r="X529" s="14">
        <f t="shared" si="95"/>
        <v>6841.0999999999985</v>
      </c>
      <c r="Y529" s="15">
        <v>260</v>
      </c>
      <c r="Z529" s="15">
        <f t="shared" si="96"/>
        <v>12266.799999999997</v>
      </c>
      <c r="AA529" s="13">
        <f t="shared" si="97"/>
        <v>43877.399999999994</v>
      </c>
    </row>
    <row r="530" spans="1:27" s="16" customFormat="1" x14ac:dyDescent="0.3">
      <c r="A530" s="18">
        <v>529</v>
      </c>
      <c r="B530" s="8">
        <v>46295</v>
      </c>
      <c r="C530" s="8">
        <v>46296</v>
      </c>
      <c r="D530" s="65">
        <v>2610011113004</v>
      </c>
      <c r="E530" s="22" t="s">
        <v>1144</v>
      </c>
      <c r="F530" s="9" t="s">
        <v>1145</v>
      </c>
      <c r="G530" s="9">
        <v>45</v>
      </c>
      <c r="H530" s="43">
        <v>42</v>
      </c>
      <c r="I530" s="26" t="s">
        <v>169</v>
      </c>
      <c r="J530" s="27" t="s">
        <v>23</v>
      </c>
      <c r="K530" s="26" t="s">
        <v>30</v>
      </c>
      <c r="L530" s="9" t="s">
        <v>193</v>
      </c>
      <c r="M530" s="9" t="s">
        <v>31</v>
      </c>
      <c r="N530" s="9">
        <v>62.32</v>
      </c>
      <c r="O530" s="9">
        <v>16.84</v>
      </c>
      <c r="P530" s="52">
        <f t="shared" si="98"/>
        <v>45.480000000000004</v>
      </c>
      <c r="Q530" s="11">
        <v>525</v>
      </c>
      <c r="R530" s="12">
        <f t="shared" si="94"/>
        <v>23877.000000000004</v>
      </c>
      <c r="S530" s="11"/>
      <c r="T530" s="13"/>
      <c r="V530" s="19" t="s">
        <v>24</v>
      </c>
      <c r="W530" s="11">
        <v>145</v>
      </c>
      <c r="X530" s="14">
        <f t="shared" si="95"/>
        <v>6594.6</v>
      </c>
      <c r="Y530" s="15">
        <v>260</v>
      </c>
      <c r="Z530" s="15">
        <f t="shared" si="96"/>
        <v>11824.800000000001</v>
      </c>
      <c r="AA530" s="13">
        <f t="shared" si="97"/>
        <v>42296.400000000009</v>
      </c>
    </row>
    <row r="531" spans="1:27" s="16" customFormat="1" x14ac:dyDescent="0.3">
      <c r="A531" s="18">
        <v>530</v>
      </c>
      <c r="B531" s="8">
        <v>46295</v>
      </c>
      <c r="C531" s="8">
        <v>46296</v>
      </c>
      <c r="D531" s="65">
        <v>2610011113005</v>
      </c>
      <c r="E531" s="22" t="s">
        <v>1146</v>
      </c>
      <c r="F531" s="9" t="s">
        <v>1147</v>
      </c>
      <c r="G531" s="9">
        <v>45</v>
      </c>
      <c r="H531" s="43">
        <v>42</v>
      </c>
      <c r="I531" s="26" t="s">
        <v>169</v>
      </c>
      <c r="J531" s="27" t="s">
        <v>23</v>
      </c>
      <c r="K531" s="26" t="s">
        <v>30</v>
      </c>
      <c r="L531" s="9" t="s">
        <v>74</v>
      </c>
      <c r="M531" s="9" t="s">
        <v>173</v>
      </c>
      <c r="N531" s="9">
        <v>60.96</v>
      </c>
      <c r="O531" s="9">
        <v>15.8</v>
      </c>
      <c r="P531" s="52">
        <f t="shared" si="98"/>
        <v>45.16</v>
      </c>
      <c r="Q531" s="11">
        <v>470</v>
      </c>
      <c r="R531" s="12">
        <f t="shared" si="94"/>
        <v>21225.199999999997</v>
      </c>
      <c r="S531" s="11"/>
      <c r="T531" s="13"/>
      <c r="V531" s="19" t="s">
        <v>24</v>
      </c>
      <c r="W531" s="11">
        <v>145</v>
      </c>
      <c r="X531" s="14">
        <f t="shared" si="95"/>
        <v>6548.2</v>
      </c>
      <c r="Y531" s="15">
        <v>260</v>
      </c>
      <c r="Z531" s="15">
        <f t="shared" si="96"/>
        <v>11741.599999999999</v>
      </c>
      <c r="AA531" s="13">
        <f t="shared" si="97"/>
        <v>39515</v>
      </c>
    </row>
    <row r="532" spans="1:27" s="16" customFormat="1" x14ac:dyDescent="0.3">
      <c r="A532" s="18">
        <v>531</v>
      </c>
      <c r="B532" s="8">
        <v>46295</v>
      </c>
      <c r="C532" s="8">
        <v>46296</v>
      </c>
      <c r="D532" s="65">
        <v>2610011113006</v>
      </c>
      <c r="E532" s="22" t="s">
        <v>1148</v>
      </c>
      <c r="F532" s="9" t="s">
        <v>1149</v>
      </c>
      <c r="G532" s="9">
        <v>41</v>
      </c>
      <c r="H532" s="43">
        <v>42</v>
      </c>
      <c r="I532" s="26" t="s">
        <v>169</v>
      </c>
      <c r="J532" s="27" t="s">
        <v>23</v>
      </c>
      <c r="K532" s="26" t="s">
        <v>30</v>
      </c>
      <c r="L532" s="48" t="s">
        <v>123</v>
      </c>
      <c r="M532" s="9" t="s">
        <v>108</v>
      </c>
      <c r="N532" s="9">
        <v>57.46</v>
      </c>
      <c r="O532" s="9">
        <v>15.88</v>
      </c>
      <c r="P532" s="52">
        <f t="shared" si="98"/>
        <v>41.58</v>
      </c>
      <c r="Q532" s="11">
        <v>340</v>
      </c>
      <c r="R532" s="12">
        <f t="shared" si="94"/>
        <v>14137.199999999999</v>
      </c>
      <c r="S532" s="11"/>
      <c r="T532" s="13"/>
      <c r="V532" s="19" t="s">
        <v>24</v>
      </c>
      <c r="W532" s="11">
        <v>145</v>
      </c>
      <c r="X532" s="14">
        <f t="shared" si="95"/>
        <v>6029.0999999999995</v>
      </c>
      <c r="Y532" s="15">
        <v>260</v>
      </c>
      <c r="Z532" s="15">
        <f t="shared" si="96"/>
        <v>10810.8</v>
      </c>
      <c r="AA532" s="13">
        <f t="shared" si="97"/>
        <v>30977.1</v>
      </c>
    </row>
    <row r="533" spans="1:27" s="16" customFormat="1" x14ac:dyDescent="0.3">
      <c r="A533" s="18">
        <v>532</v>
      </c>
      <c r="B533" s="8">
        <v>46295</v>
      </c>
      <c r="C533" s="8">
        <v>46296</v>
      </c>
      <c r="D533" s="65">
        <v>2610011113007</v>
      </c>
      <c r="E533" s="22" t="s">
        <v>1150</v>
      </c>
      <c r="F533" s="9" t="s">
        <v>1151</v>
      </c>
      <c r="G533" s="9">
        <v>36</v>
      </c>
      <c r="H533" s="43">
        <v>42</v>
      </c>
      <c r="I533" s="26" t="s">
        <v>169</v>
      </c>
      <c r="J533" s="27" t="s">
        <v>23</v>
      </c>
      <c r="K533" s="26" t="s">
        <v>30</v>
      </c>
      <c r="L533" s="48" t="s">
        <v>162</v>
      </c>
      <c r="M533" s="9" t="s">
        <v>173</v>
      </c>
      <c r="N533" s="9">
        <v>48.46</v>
      </c>
      <c r="O533" s="9">
        <v>11.58</v>
      </c>
      <c r="P533" s="52">
        <f t="shared" si="98"/>
        <v>36.880000000000003</v>
      </c>
      <c r="Q533" s="11">
        <v>470</v>
      </c>
      <c r="R533" s="12">
        <f t="shared" si="94"/>
        <v>17333.600000000002</v>
      </c>
      <c r="S533" s="11"/>
      <c r="T533" s="13"/>
      <c r="V533" s="19" t="s">
        <v>24</v>
      </c>
      <c r="W533" s="11">
        <v>145</v>
      </c>
      <c r="X533" s="14">
        <f t="shared" si="95"/>
        <v>5347.6</v>
      </c>
      <c r="Y533" s="15">
        <v>260</v>
      </c>
      <c r="Z533" s="15">
        <f t="shared" si="96"/>
        <v>9588.8000000000011</v>
      </c>
      <c r="AA533" s="13">
        <f t="shared" si="97"/>
        <v>32270.000000000007</v>
      </c>
    </row>
    <row r="534" spans="1:27" s="16" customFormat="1" x14ac:dyDescent="0.3">
      <c r="A534" s="18">
        <v>533</v>
      </c>
      <c r="B534" s="8">
        <v>46295</v>
      </c>
      <c r="C534" s="8">
        <v>46296</v>
      </c>
      <c r="D534" s="65">
        <v>2610011113008</v>
      </c>
      <c r="E534" s="22" t="s">
        <v>1152</v>
      </c>
      <c r="F534" s="9" t="s">
        <v>1153</v>
      </c>
      <c r="G534" s="9">
        <v>42</v>
      </c>
      <c r="H534" s="37">
        <v>132</v>
      </c>
      <c r="I534" s="26" t="s">
        <v>1115</v>
      </c>
      <c r="J534" s="36" t="s">
        <v>23</v>
      </c>
      <c r="K534" s="26" t="s">
        <v>30</v>
      </c>
      <c r="L534" s="9" t="s">
        <v>170</v>
      </c>
      <c r="M534" s="9" t="s">
        <v>31</v>
      </c>
      <c r="N534" s="9">
        <v>57.46</v>
      </c>
      <c r="O534" s="9">
        <v>15.04</v>
      </c>
      <c r="P534" s="52">
        <f t="shared" si="98"/>
        <v>42.42</v>
      </c>
      <c r="Q534" s="11">
        <v>580</v>
      </c>
      <c r="R534" s="12">
        <f t="shared" si="94"/>
        <v>24603.600000000002</v>
      </c>
      <c r="S534" s="11"/>
      <c r="T534" s="13"/>
      <c r="V534" s="19" t="s">
        <v>181</v>
      </c>
      <c r="W534" s="11">
        <v>150</v>
      </c>
      <c r="X534" s="14">
        <f t="shared" si="95"/>
        <v>6363</v>
      </c>
      <c r="Y534" s="15">
        <v>250</v>
      </c>
      <c r="Z534" s="15">
        <f t="shared" si="96"/>
        <v>10605</v>
      </c>
      <c r="AA534" s="13">
        <f t="shared" si="97"/>
        <v>41571.600000000006</v>
      </c>
    </row>
  </sheetData>
  <conditionalFormatting sqref="I23">
    <cfRule type="duplicateValues" dxfId="87" priority="86"/>
    <cfRule type="duplicateValues" dxfId="86" priority="87"/>
  </conditionalFormatting>
  <conditionalFormatting sqref="I46">
    <cfRule type="duplicateValues" dxfId="85" priority="85"/>
  </conditionalFormatting>
  <conditionalFormatting sqref="I47">
    <cfRule type="duplicateValues" dxfId="84" priority="84"/>
  </conditionalFormatting>
  <conditionalFormatting sqref="I71">
    <cfRule type="duplicateValues" dxfId="83" priority="81"/>
  </conditionalFormatting>
  <conditionalFormatting sqref="I72">
    <cfRule type="duplicateValues" dxfId="82" priority="82"/>
  </conditionalFormatting>
  <conditionalFormatting sqref="I73">
    <cfRule type="duplicateValues" dxfId="81" priority="80"/>
  </conditionalFormatting>
  <conditionalFormatting sqref="I74">
    <cfRule type="duplicateValues" dxfId="80" priority="79"/>
  </conditionalFormatting>
  <conditionalFormatting sqref="I89">
    <cfRule type="duplicateValues" dxfId="79" priority="77"/>
  </conditionalFormatting>
  <conditionalFormatting sqref="I91">
    <cfRule type="duplicateValues" dxfId="78" priority="83"/>
  </conditionalFormatting>
  <conditionalFormatting sqref="I92">
    <cfRule type="duplicateValues" dxfId="77" priority="76"/>
  </conditionalFormatting>
  <conditionalFormatting sqref="I120">
    <cfRule type="duplicateValues" dxfId="76" priority="74"/>
  </conditionalFormatting>
  <conditionalFormatting sqref="I122">
    <cfRule type="duplicateValues" dxfId="75" priority="73"/>
  </conditionalFormatting>
  <conditionalFormatting sqref="I149">
    <cfRule type="duplicateValues" dxfId="74" priority="72"/>
  </conditionalFormatting>
  <conditionalFormatting sqref="I152">
    <cfRule type="duplicateValues" dxfId="73" priority="71"/>
  </conditionalFormatting>
  <conditionalFormatting sqref="I161">
    <cfRule type="duplicateValues" dxfId="72" priority="69"/>
  </conditionalFormatting>
  <conditionalFormatting sqref="I195">
    <cfRule type="duplicateValues" dxfId="71" priority="68"/>
  </conditionalFormatting>
  <conditionalFormatting sqref="I196">
    <cfRule type="duplicateValues" dxfId="70" priority="67"/>
  </conditionalFormatting>
  <conditionalFormatting sqref="I197">
    <cfRule type="duplicateValues" dxfId="69" priority="66"/>
  </conditionalFormatting>
  <conditionalFormatting sqref="I198">
    <cfRule type="duplicateValues" dxfId="68" priority="65"/>
  </conditionalFormatting>
  <conditionalFormatting sqref="I199">
    <cfRule type="duplicateValues" dxfId="67" priority="64"/>
  </conditionalFormatting>
  <conditionalFormatting sqref="I200">
    <cfRule type="duplicateValues" dxfId="66" priority="63"/>
  </conditionalFormatting>
  <conditionalFormatting sqref="I201">
    <cfRule type="duplicateValues" dxfId="65" priority="62"/>
  </conditionalFormatting>
  <conditionalFormatting sqref="I202">
    <cfRule type="duplicateValues" dxfId="64" priority="61"/>
  </conditionalFormatting>
  <conditionalFormatting sqref="I203">
    <cfRule type="duplicateValues" dxfId="63" priority="60"/>
  </conditionalFormatting>
  <conditionalFormatting sqref="I204">
    <cfRule type="duplicateValues" dxfId="62" priority="59"/>
  </conditionalFormatting>
  <conditionalFormatting sqref="I205">
    <cfRule type="duplicateValues" dxfId="61" priority="58"/>
  </conditionalFormatting>
  <conditionalFormatting sqref="I207">
    <cfRule type="duplicateValues" dxfId="60" priority="57"/>
  </conditionalFormatting>
  <conditionalFormatting sqref="I209">
    <cfRule type="duplicateValues" dxfId="59" priority="56"/>
  </conditionalFormatting>
  <conditionalFormatting sqref="I210">
    <cfRule type="duplicateValues" dxfId="58" priority="55"/>
  </conditionalFormatting>
  <conditionalFormatting sqref="I213">
    <cfRule type="duplicateValues" dxfId="57" priority="54"/>
  </conditionalFormatting>
  <conditionalFormatting sqref="I224">
    <cfRule type="duplicateValues" dxfId="56" priority="53"/>
  </conditionalFormatting>
  <conditionalFormatting sqref="I232">
    <cfRule type="duplicateValues" dxfId="55" priority="52"/>
  </conditionalFormatting>
  <conditionalFormatting sqref="I233">
    <cfRule type="duplicateValues" dxfId="54" priority="51"/>
  </conditionalFormatting>
  <conditionalFormatting sqref="I235">
    <cfRule type="duplicateValues" dxfId="53" priority="50"/>
  </conditionalFormatting>
  <conditionalFormatting sqref="I236">
    <cfRule type="duplicateValues" dxfId="52" priority="49"/>
  </conditionalFormatting>
  <conditionalFormatting sqref="I398">
    <cfRule type="duplicateValues" dxfId="51" priority="46"/>
  </conditionalFormatting>
  <conditionalFormatting sqref="I407">
    <cfRule type="duplicateValues" dxfId="50" priority="44"/>
  </conditionalFormatting>
  <conditionalFormatting sqref="I408">
    <cfRule type="duplicateValues" dxfId="49" priority="43"/>
  </conditionalFormatting>
  <conditionalFormatting sqref="I409">
    <cfRule type="duplicateValues" dxfId="48" priority="42"/>
  </conditionalFormatting>
  <conditionalFormatting sqref="I410">
    <cfRule type="duplicateValues" dxfId="47" priority="41"/>
  </conditionalFormatting>
  <conditionalFormatting sqref="I411">
    <cfRule type="duplicateValues" dxfId="46" priority="40"/>
  </conditionalFormatting>
  <conditionalFormatting sqref="I418">
    <cfRule type="duplicateValues" dxfId="45" priority="35"/>
    <cfRule type="duplicateValues" dxfId="44" priority="36"/>
  </conditionalFormatting>
  <conditionalFormatting sqref="I419">
    <cfRule type="duplicateValues" dxfId="43" priority="38"/>
  </conditionalFormatting>
  <conditionalFormatting sqref="I420">
    <cfRule type="duplicateValues" dxfId="42" priority="37"/>
  </conditionalFormatting>
  <conditionalFormatting sqref="I421">
    <cfRule type="duplicateValues" dxfId="41" priority="33"/>
    <cfRule type="duplicateValues" dxfId="40" priority="34"/>
  </conditionalFormatting>
  <conditionalFormatting sqref="I438">
    <cfRule type="duplicateValues" dxfId="39" priority="32"/>
  </conditionalFormatting>
  <conditionalFormatting sqref="I441">
    <cfRule type="duplicateValues" dxfId="38" priority="31"/>
  </conditionalFormatting>
  <conditionalFormatting sqref="I442">
    <cfRule type="duplicateValues" dxfId="37" priority="30"/>
  </conditionalFormatting>
  <conditionalFormatting sqref="I443">
    <cfRule type="duplicateValues" dxfId="36" priority="28"/>
    <cfRule type="duplicateValues" dxfId="35" priority="29"/>
  </conditionalFormatting>
  <conditionalFormatting sqref="I450">
    <cfRule type="duplicateValues" dxfId="34" priority="26"/>
  </conditionalFormatting>
  <conditionalFormatting sqref="I451">
    <cfRule type="duplicateValues" dxfId="33" priority="25"/>
  </conditionalFormatting>
  <conditionalFormatting sqref="I452">
    <cfRule type="duplicateValues" dxfId="32" priority="24"/>
  </conditionalFormatting>
  <conditionalFormatting sqref="I457">
    <cfRule type="duplicateValues" dxfId="31" priority="22"/>
  </conditionalFormatting>
  <conditionalFormatting sqref="I458">
    <cfRule type="duplicateValues" dxfId="30" priority="21"/>
  </conditionalFormatting>
  <conditionalFormatting sqref="I459">
    <cfRule type="duplicateValues" dxfId="29" priority="20"/>
  </conditionalFormatting>
  <conditionalFormatting sqref="I460">
    <cfRule type="duplicateValues" dxfId="28" priority="16"/>
  </conditionalFormatting>
  <conditionalFormatting sqref="I461">
    <cfRule type="duplicateValues" dxfId="27" priority="19"/>
  </conditionalFormatting>
  <conditionalFormatting sqref="I462">
    <cfRule type="duplicateValues" dxfId="26" priority="15"/>
  </conditionalFormatting>
  <conditionalFormatting sqref="I463">
    <cfRule type="duplicateValues" dxfId="25" priority="18"/>
  </conditionalFormatting>
  <conditionalFormatting sqref="I464">
    <cfRule type="duplicateValues" dxfId="24" priority="17"/>
  </conditionalFormatting>
  <conditionalFormatting sqref="I465">
    <cfRule type="duplicateValues" dxfId="23" priority="14"/>
  </conditionalFormatting>
  <conditionalFormatting sqref="I466">
    <cfRule type="duplicateValues" dxfId="22" priority="13"/>
  </conditionalFormatting>
  <conditionalFormatting sqref="I467">
    <cfRule type="duplicateValues" dxfId="21" priority="12"/>
  </conditionalFormatting>
  <conditionalFormatting sqref="I468">
    <cfRule type="duplicateValues" dxfId="20" priority="11"/>
  </conditionalFormatting>
  <conditionalFormatting sqref="I472">
    <cfRule type="duplicateValues" dxfId="19" priority="9"/>
  </conditionalFormatting>
  <conditionalFormatting sqref="I483">
    <cfRule type="duplicateValues" dxfId="18" priority="10"/>
  </conditionalFormatting>
  <conditionalFormatting sqref="I484">
    <cfRule type="duplicateValues" dxfId="17" priority="8"/>
  </conditionalFormatting>
  <conditionalFormatting sqref="I507">
    <cfRule type="duplicateValues" dxfId="16" priority="7"/>
  </conditionalFormatting>
  <conditionalFormatting sqref="I508">
    <cfRule type="duplicateValues" dxfId="15" priority="6"/>
  </conditionalFormatting>
  <conditionalFormatting sqref="I509">
    <cfRule type="duplicateValues" dxfId="14" priority="5"/>
  </conditionalFormatting>
  <conditionalFormatting sqref="I510">
    <cfRule type="duplicateValues" dxfId="13" priority="4"/>
  </conditionalFormatting>
  <conditionalFormatting sqref="I511">
    <cfRule type="duplicateValues" dxfId="12" priority="3"/>
  </conditionalFormatting>
  <conditionalFormatting sqref="I513">
    <cfRule type="duplicateValues" dxfId="11" priority="2"/>
  </conditionalFormatting>
  <conditionalFormatting sqref="I514">
    <cfRule type="duplicateValues" dxfId="10" priority="1"/>
  </conditionalFormatting>
  <conditionalFormatting sqref="J12">
    <cfRule type="duplicateValues" dxfId="9" priority="88"/>
  </conditionalFormatting>
  <conditionalFormatting sqref="J86">
    <cfRule type="duplicateValues" dxfId="8" priority="78"/>
  </conditionalFormatting>
  <conditionalFormatting sqref="J104">
    <cfRule type="duplicateValues" dxfId="7" priority="75"/>
  </conditionalFormatting>
  <conditionalFormatting sqref="J154">
    <cfRule type="duplicateValues" dxfId="6" priority="70"/>
  </conditionalFormatting>
  <conditionalFormatting sqref="J329">
    <cfRule type="duplicateValues" dxfId="5" priority="48"/>
  </conditionalFormatting>
  <conditionalFormatting sqref="J334">
    <cfRule type="duplicateValues" dxfId="4" priority="47"/>
  </conditionalFormatting>
  <conditionalFormatting sqref="J402">
    <cfRule type="duplicateValues" dxfId="3" priority="45"/>
  </conditionalFormatting>
  <conditionalFormatting sqref="J414">
    <cfRule type="duplicateValues" dxfId="2" priority="39"/>
  </conditionalFormatting>
  <conditionalFormatting sqref="J449">
    <cfRule type="duplicateValues" dxfId="1" priority="27"/>
  </conditionalFormatting>
  <conditionalFormatting sqref="J454">
    <cfRule type="duplicateValues" dxfId="0" priority="23"/>
  </conditionalFormatting>
  <dataValidations count="2">
    <dataValidation type="list" allowBlank="1" showInputMessage="1" showErrorMessage="1" sqref="J2:J11 J13:J62 J65:J85 J87:J103 J105:J153 J155:J205 J207:J211 J213:J228 J232:J233 J235:J255 J259:J328 J330:J333 J370:J371 J335:J367 J374:J401 J406:J413 J415:J433 J435:J438 J441:J448 J450:J453 J455:J484 J486 J488 J490:J534" xr:uid="{00000000-0002-0000-0000-000000000000}">
      <formula1>"RMC,Road Project,Export,Infra,Others"</formula1>
    </dataValidation>
    <dataValidation type="list" allowBlank="1" showInputMessage="1" showErrorMessage="1" sqref="K2:K62 K65:K153 K155:K205 K207:K211 K213:K228 K232:K233 K235:K255 K259:K367 K370:K371 K374:K401 K406:K413 K415:K433 K435:K438 K441:K484 K486 K488 K490:K534" xr:uid="{00000000-0002-0000-0000-000001000000}">
      <formula1>"CASH,CREDIT"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Bimal Patra</cp:lastModifiedBy>
  <dcterms:created xsi:type="dcterms:W3CDTF">2024-03-16T05:25:02Z</dcterms:created>
  <dcterms:modified xsi:type="dcterms:W3CDTF">2026-10-17T12:20:50Z</dcterms:modified>
</cp:coreProperties>
</file>